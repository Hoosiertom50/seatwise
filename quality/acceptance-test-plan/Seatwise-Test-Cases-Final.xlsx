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4560" windowHeight="21680" tabRatio="500" firstSheet="0" activeTab="0" autoFilterDateGrouping="1"/>
  </bookViews>
  <sheets>
    <sheet xmlns:r="http://schemas.openxmlformats.org/officeDocument/2006/relationships" name="Instructions" sheetId="1" state="visible" r:id="rId1"/>
    <sheet xmlns:r="http://schemas.openxmlformats.org/officeDocument/2006/relationships" name="Test Cases" sheetId="2" state="visible" r:id="rId2"/>
    <sheet xmlns:r="http://schemas.openxmlformats.org/officeDocument/2006/relationships" name="Summary" sheetId="3" state="visible" r:id="rId3"/>
  </sheets>
  <definedNames>
    <definedName name="_xlnm._FilterDatabase" localSheetId="1" hidden="1">'Test Cases'!$A$1:$M$85</definedName>
  </definedNames>
  <calcPr calcId="191028" fullCalcOnLoad="1" forceFullCalc="1"/>
</workbook>
</file>

<file path=xl/styles.xml><?xml version="1.0" encoding="utf-8"?>
<styleSheet xmlns="http://schemas.openxmlformats.org/spreadsheetml/2006/main">
  <numFmts count="0"/>
  <fonts count="12">
    <font>
      <name val="Calibri"/>
      <charset val="1"/>
      <family val="2"/>
      <color theme="1"/>
      <sz val="11"/>
    </font>
    <font>
      <name val="Arial"/>
      <family val="2"/>
      <b val="1"/>
      <color rgb="FF1F3A5F"/>
      <sz val="18"/>
    </font>
    <font>
      <name val="Arial"/>
      <family val="2"/>
      <i val="1"/>
      <color rgb="FF595959"/>
      <sz val="10"/>
    </font>
    <font>
      <name val="Arial"/>
      <family val="2"/>
      <b val="1"/>
      <color rgb="FF1F3A5F"/>
      <sz val="13"/>
    </font>
    <font>
      <name val="Arial"/>
      <family val="2"/>
      <color rgb="FF1A1A1A"/>
      <sz val="11"/>
    </font>
    <font>
      <name val="Arial"/>
      <family val="2"/>
      <color rgb="FF1A1A1A"/>
      <sz val="10"/>
    </font>
    <font>
      <name val="Arial"/>
      <family val="2"/>
      <i val="1"/>
      <color rgb="FF595959"/>
      <sz val="9"/>
    </font>
    <font>
      <name val="Arial"/>
      <family val="2"/>
      <b val="1"/>
      <color rgb="FFFFFFFF"/>
      <sz val="10"/>
    </font>
    <font>
      <name val="Arial"/>
      <family val="2"/>
      <b val="1"/>
      <color rgb="FF1F3A5F"/>
      <sz val="16"/>
    </font>
    <font>
      <name val="Arial"/>
      <family val="2"/>
      <sz val="10"/>
    </font>
    <font>
      <name val="Arial"/>
      <family val="2"/>
      <b val="1"/>
      <color rgb="FF1F3A5F"/>
      <sz val="10"/>
    </font>
    <font>
      <name val="Arial"/>
      <family val="2"/>
      <b val="1"/>
      <sz val="10"/>
    </font>
  </fonts>
  <fills count="4">
    <fill>
      <patternFill/>
    </fill>
    <fill>
      <patternFill patternType="gray125"/>
    </fill>
    <fill>
      <patternFill patternType="solid">
        <fgColor rgb="FFF2EFE9"/>
        <bgColor rgb="FFE7E6E6"/>
      </patternFill>
    </fill>
    <fill>
      <patternFill patternType="solid">
        <fgColor rgb="FF1F3A5F"/>
        <bgColor rgb="FF33339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top" wrapText="1"/>
    </xf>
    <xf numFmtId="0" fontId="6" fillId="0" borderId="0" applyAlignment="1" pivotButton="0" quotePrefix="0" xfId="0">
      <alignment vertical="top" wrapText="1"/>
    </xf>
    <xf numFmtId="0" fontId="7" fillId="3" borderId="0" applyAlignment="1" pivotButton="0" quotePrefix="0" xfId="0">
      <alignment horizontal="left" vertical="center" wrapText="1"/>
    </xf>
    <xf numFmtId="0" fontId="5" fillId="0" borderId="1" applyAlignment="1" pivotButton="0" quotePrefix="0" xfId="0">
      <alignment horizontal="left" vertical="top" wrapText="1"/>
    </xf>
    <xf numFmtId="0" fontId="5" fillId="2" borderId="1" applyAlignment="1" pivotButton="0" quotePrefix="0" xfId="0">
      <alignment horizontal="left" vertical="top" wrapText="1"/>
    </xf>
    <xf numFmtId="0" fontId="8" fillId="0" borderId="0" pivotButton="0" quotePrefix="0" xfId="0"/>
    <xf numFmtId="0" fontId="2" fillId="0" borderId="0" pivotButton="0" quotePrefix="0" xfId="0"/>
    <xf numFmtId="0" fontId="7" fillId="3" borderId="0" applyAlignment="1" pivotButton="0" quotePrefix="0" xfId="0">
      <alignment horizontal="center" vertical="center" wrapText="1"/>
    </xf>
    <xf numFmtId="0" fontId="9" fillId="0" borderId="1" applyAlignment="1" pivotButton="0" quotePrefix="0" xfId="0">
      <alignment horizontal="left" vertical="center"/>
    </xf>
    <xf numFmtId="0" fontId="9" fillId="0" borderId="1" applyAlignment="1" pivotButton="0" quotePrefix="0" xfId="0">
      <alignment horizontal="center" vertical="center"/>
    </xf>
    <xf numFmtId="9" fontId="9" fillId="0" borderId="1" applyAlignment="1" pivotButton="0" quotePrefix="0" xfId="0">
      <alignment horizontal="center" vertical="center"/>
    </xf>
    <xf numFmtId="0" fontId="9" fillId="2" borderId="1" applyAlignment="1" pivotButton="0" quotePrefix="0" xfId="0">
      <alignment horizontal="left" vertical="center"/>
    </xf>
    <xf numFmtId="0" fontId="9" fillId="2" borderId="1" applyAlignment="1" pivotButton="0" quotePrefix="0" xfId="0">
      <alignment horizontal="center" vertical="center"/>
    </xf>
    <xf numFmtId="9" fontId="9" fillId="2" borderId="1" applyAlignment="1" pivotButton="0" quotePrefix="0" xfId="0">
      <alignment horizontal="center" vertical="center"/>
    </xf>
    <xf numFmtId="0" fontId="10" fillId="0" borderId="1" pivotButton="0" quotePrefix="0" xfId="0"/>
    <xf numFmtId="0" fontId="11" fillId="0" borderId="1" applyAlignment="1" pivotButton="0" quotePrefix="0" xfId="0">
      <alignment horizontal="center"/>
    </xf>
    <xf numFmtId="9" fontId="11" fillId="0" borderId="1" applyAlignment="1" pivotButton="0" quotePrefix="0" xfId="0">
      <alignment horizontal="center"/>
    </xf>
    <xf numFmtId="0" fontId="6" fillId="0" borderId="0" applyAlignment="1" pivotButton="0" quotePrefix="0" xfId="0">
      <alignment wrapText="1"/>
    </xf>
    <xf numFmtId="0" fontId="0" fillId="0" borderId="0" applyAlignment="1" pivotButton="0" quotePrefix="0" xfId="0">
      <alignment vertical="top" wrapText="1"/>
    </xf>
  </cellXfs>
  <cellStyles count="1">
    <cellStyle name="Normal" xfId="0" builtinId="0"/>
  </cellStyles>
  <dxfs count="5">
    <dxf>
      <font>
        <name val="Arial"/>
        <charset val="1"/>
        <color rgb="FF595959"/>
      </font>
      <fill>
        <patternFill>
          <bgColor rgb="FFE7E6E6"/>
        </patternFill>
      </fill>
    </dxf>
    <dxf>
      <font>
        <name val="Arial"/>
        <charset val="1"/>
        <b val="1"/>
        <color rgb="FF9C6500"/>
      </font>
      <fill>
        <patternFill>
          <bgColor rgb="FFFFEB9C"/>
        </patternFill>
      </fill>
    </dxf>
    <dxf>
      <font>
        <name val="Arial"/>
        <charset val="1"/>
        <b val="1"/>
        <color rgb="FF9C0006"/>
      </font>
      <fill>
        <patternFill>
          <bgColor rgb="FFFFC7CE"/>
        </patternFill>
      </fill>
    </dxf>
    <dxf>
      <font>
        <name val="Arial"/>
        <charset val="1"/>
        <b val="1"/>
        <color rgb="FF006100"/>
      </font>
      <fill>
        <patternFill>
          <bgColor rgb="FFC6EFCE"/>
        </patternFill>
      </fill>
    </dxf>
    <dxf>
      <font>
        <name val="Arial"/>
        <charset val="1"/>
        <b val="1"/>
        <color rgb="FF1F3A5F"/>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C0C0C0"/>
      <rgbColor rgb="FF808080"/>
      <rgbColor rgb="FF9999FF"/>
      <rgbColor rgb="FF993366"/>
      <rgbColor rgb="FFF2EFE9"/>
      <rgbColor rgb="FFE7E6E6"/>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1F3A5F"/>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0"/>
  <sheetViews>
    <sheetView showGridLines="0" tabSelected="1" zoomScaleNormal="100" workbookViewId="0">
      <selection activeCell="A1" sqref="A1"/>
    </sheetView>
  </sheetViews>
  <sheetFormatPr baseColWidth="10" defaultColWidth="8.6640625" defaultRowHeight="15"/>
  <cols>
    <col width="105" customWidth="1" min="1" max="1"/>
  </cols>
  <sheetData>
    <row r="1" ht="22.25" customHeight="1">
      <c r="A1" s="1" t="inlineStr">
        <is>
          <t>Seatwise — Acceptance Test Plan</t>
        </is>
      </c>
    </row>
    <row r="2" ht="15" customHeight="1">
      <c r="A2" s="2" t="inlineStr">
        <is>
          <t>Companion to the Seatwise Product Requirements Document. Version 1.1, Requirements ambiguity review · Prepared for Tom Carter, E-gineering</t>
        </is>
      </c>
    </row>
    <row r="4" ht="16.25" customHeight="1">
      <c r="A4" s="3" t="inlineStr">
        <is>
          <t>Purpose</t>
        </is>
      </c>
    </row>
    <row r="5" ht="52.25" customHeight="1">
      <c r="A5" s="4" t="inlineStr">
        <is>
          <t>Every row on the "Test Cases" tab is a single, self-contained acceptance test derived directly from one requirement in the Seatwise PRD. Each one can be executed and judged pass/fail by someone who has never seen the app or its design before — no knowledge of how it was built is required, only the ability to follow the numbered steps and compare the result to what's expected.</t>
        </is>
      </c>
    </row>
    <row r="7" ht="16.25" customHeight="1">
      <c r="A7" s="3" t="inlineStr">
        <is>
          <t>How to use this workbook</t>
        </is>
      </c>
    </row>
    <row r="8" ht="39.5" customHeight="1">
      <c r="A8" s="4" t="inlineStr">
        <is>
          <t>1. Open the "Test Cases" tab. Use the filter arrows on the header row to narrow to a Feature Area, Type, or Priority you want to run — for example, filter Priority = Must to run the safety-critical tests first, or Feature Area = Day-Of / Emergency Mode to test one area in isolation.</t>
        </is>
      </c>
    </row>
    <row r="9" ht="26.75" customHeight="1">
      <c r="A9" s="4" t="inlineStr">
        <is>
          <t>2. For each row, set up whatever the Preconditions column describes, then follow the numbered Test Steps exactly.</t>
        </is>
      </c>
    </row>
    <row r="10" ht="15" customHeight="1">
      <c r="A10" s="4" t="inlineStr">
        <is>
          <t>3. Compare what actually happens to the Expected Result column.</t>
        </is>
      </c>
    </row>
    <row r="11" ht="26.75" customHeight="1">
      <c r="A11" s="4" t="inlineStr">
        <is>
          <t>4. Set the Status cell using the dropdown: Pass, Fail, Blocked, or N/A (see definitions below). Rows start as "Not Run."</t>
        </is>
      </c>
    </row>
    <row r="12" ht="15" customHeight="1">
      <c r="A12" s="4" t="inlineStr">
        <is>
          <t>5. Fill in Tested By and Date Tested.</t>
        </is>
      </c>
    </row>
    <row r="13" ht="26.75" customHeight="1">
      <c r="A13" s="4" t="inlineStr">
        <is>
          <t>6. If the result was Fail or Blocked, describe exactly what happened in Notes — what you saw instead of the expected result — so it can be reproduced. Include applicable evidence such as a screenshot, exported file name, exact error text, request ID, timestamp, measured duration, or accessibility-report reference.</t>
        </is>
      </c>
    </row>
    <row r="15" ht="16.25" customHeight="1">
      <c r="A15" s="3" t="inlineStr">
        <is>
          <t>Status definitions</t>
        </is>
      </c>
    </row>
    <row r="16" ht="15" customHeight="1">
      <c r="A16" s="4" t="inlineStr">
        <is>
          <t>Pass — what you observed matches the Expected Result exactly.</t>
        </is>
      </c>
    </row>
    <row r="17" ht="15" customHeight="1">
      <c r="A17" s="4" t="inlineStr">
        <is>
          <t>Fail — what you observed does not match the Expected Result. Explain the actual behavior in Notes.</t>
        </is>
      </c>
    </row>
    <row r="18" ht="26.75" customHeight="1">
      <c r="A18" s="4" t="inlineStr">
        <is>
          <t>Blocked — the test could not be run at all, usually because an earlier, unrelated test failed first. Explain what blocked it in Notes.</t>
        </is>
      </c>
    </row>
    <row r="19" ht="26.75" customHeight="1">
      <c r="A19" s="4" t="inlineStr">
        <is>
          <t>N/A — the test does not apply to the approved build scope or documented test environment. Explain why in Notes. A required version 1 feature that is missing must not be marked N/A merely because it has not been built.</t>
        </is>
      </c>
    </row>
    <row r="21" ht="16.25" customHeight="1">
      <c r="A21" s="3" t="inlineStr">
        <is>
          <t>Column reference</t>
        </is>
      </c>
    </row>
    <row r="22" ht="26.75" customHeight="1">
      <c r="A22" s="4" t="inlineStr">
        <is>
          <t>Requirement Ref — the requirement ID(s) from the PRD this test verifies (e.g., FR-3.2). Open the PRD and search for that ID for full context if a step is ever unclear.</t>
        </is>
      </c>
    </row>
    <row r="23" ht="39.5" customHeight="1">
      <c r="A23" s="4" t="inlineStr">
        <is>
          <t>Type — Positive (confirms the feature works as intended), Negative (confirms the system correctly blocks or rejects something it should), Boundary/Performance/Security/Accessibility (specialized checks), or End-to-End (a full multi-step scenario spanning several requirements).</t>
        </is>
      </c>
    </row>
    <row r="24" ht="26.75" customHeight="1">
      <c r="A24" s="4" t="inlineStr">
        <is>
          <t>Priority — Must (safety-critical or core to the product; a failure here should block release) or Should (important but not release-blocking on its own).</t>
        </is>
      </c>
    </row>
    <row r="26" ht="16.25" customHeight="1">
      <c r="A26" s="23" t="inlineStr">
        <is>
          <t>Required test-run information</t>
        </is>
      </c>
    </row>
    <row r="27" ht="48" customHeight="1">
      <c r="A27" s="23" t="inlineStr">
        <is>
          <t>Before running tests, record the application build/version, environment and base URL, operating system, browser and version, device or exact viewport, network profile for performance testing, weighting-configuration version, and test-data fixture version in the test-run record or Notes.</t>
        </is>
      </c>
    </row>
    <row r="28" ht="15" customHeight="1">
      <c r="A28" s="23" t="inlineStr">
        <is>
          <t>Reusable test identities</t>
        </is>
      </c>
    </row>
    <row r="29" ht="15" customHeight="1">
      <c r="A29" s="23" t="inlineStr">
        <is>
          <t>Prepare named test accounts for Planner/Owner, Couple-Comment, Couple-View, Collaborator-Edit, Collaborator-Comment, Collaborator-View, and Unauthorized User. Use the role and permission stated in each test case.</t>
        </is>
      </c>
    </row>
    <row r="30" ht="15" customHeight="1">
      <c r="A30" s="23" t="inlineStr">
        <is>
          <t>Test data and fixtures</t>
        </is>
      </c>
    </row>
    <row r="31" ht="15" customHeight="1">
      <c r="A31" s="23" t="inlineStr">
        <is>
          <t>Where a case calls for a fixed dataset, supported environment, measurement method, or documented calculation, use the values approved in the release test plan. Record the fixture or release-test-plan reference in Notes so another tester can reproduce the result.</t>
        </is>
      </c>
    </row>
    <row r="32" ht="15" customHeight="1">
      <c r="A32" s="23" t="inlineStr">
        <is>
          <t>Execution rule</t>
        </is>
      </c>
    </row>
    <row r="33" ht="15" customHeight="1">
      <c r="A33" s="23" t="inlineStr">
        <is>
          <t>Run each test from a clean copy of its stated preconditions unless the case explicitly depends on a prior scenario. Do not reuse altered data when it could change the expected outcome.</t>
        </is>
      </c>
    </row>
    <row r="34" ht="15" customHeight="1">
      <c r="A34" s="3" t="inlineStr">
        <is>
          <t>Example of a completed row</t>
        </is>
      </c>
    </row>
    <row r="35" ht="35" customHeight="1"/>
    <row r="36" ht="15" customHeight="1">
      <c r="A36" s="5" t="inlineStr">
        <is>
          <t>ID:  EX-1</t>
        </is>
      </c>
    </row>
    <row r="37" ht="15" customHeight="1">
      <c r="A37" s="5" t="inlineStr">
        <is>
          <t>Requirement Ref:  FR-1.1</t>
        </is>
      </c>
    </row>
    <row r="38" ht="15" customHeight="1">
      <c r="A38" s="5" t="inlineStr">
        <is>
          <t>Feature Area:  Account &amp; Wedding Management</t>
        </is>
      </c>
    </row>
    <row r="39" ht="15" customHeight="1">
      <c r="A39" s="5" t="inlineStr">
        <is>
          <t>Scenario:  Create an account with multiple weddings</t>
        </is>
      </c>
    </row>
    <row r="40" ht="15" customHeight="1">
      <c r="A40" s="5" t="inlineStr">
        <is>
          <t>Type:  Positive</t>
        </is>
      </c>
    </row>
    <row r="41">
      <c r="A41" s="5" t="inlineStr">
        <is>
          <t>Priority:  Must</t>
        </is>
      </c>
    </row>
    <row r="42" ht="15" customHeight="1">
      <c r="A42" s="5" t="inlineStr">
        <is>
          <t>Preconditions:  No existing planner account.</t>
        </is>
      </c>
    </row>
    <row r="43" ht="42" customHeight="1">
      <c r="A43" s="5" t="inlineStr">
        <is>
          <t>Test Steps:  1. Create a new planner account.
2. Create a wedding named "Test Wedding A."
3. Create a second wedding named "Test Wedding B."</t>
        </is>
      </c>
    </row>
    <row r="44">
      <c r="A44" s="5" t="inlineStr">
        <is>
          <t>Expected Result:  Both weddings exist under the same account and can each be opened independently.</t>
        </is>
      </c>
    </row>
    <row r="45">
      <c r="A45" s="5" t="inlineStr">
        <is>
          <t>Status:  Pass</t>
        </is>
      </c>
    </row>
    <row r="46">
      <c r="A46" s="5" t="inlineStr">
        <is>
          <t>Tested By:  J. Rivera</t>
        </is>
      </c>
    </row>
    <row r="47">
      <c r="A47" s="5" t="inlineStr">
        <is>
          <t>Date Tested:  2026-09-10</t>
        </is>
      </c>
    </row>
    <row r="48">
      <c r="A48" s="5" t="inlineStr">
        <is>
          <t>Notes:  Both weddings created and opened without issue.</t>
        </is>
      </c>
    </row>
    <row r="50">
      <c r="A50" s="6" t="inlineStr">
        <is>
          <t>Tip: this example row is for reference only — it is not part of the Test Cases tab and should not be edited.</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M85"/>
  <sheetViews>
    <sheetView zoomScaleNormal="100" workbookViewId="0">
      <pane ySplit="1" topLeftCell="A2" activePane="bottomLeft" state="frozen"/>
      <selection pane="bottomLeft" activeCell="A1" sqref="A1"/>
    </sheetView>
  </sheetViews>
  <sheetFormatPr baseColWidth="10" defaultColWidth="8.6640625" defaultRowHeight="15"/>
  <cols>
    <col width="10" customWidth="1" min="1" max="1"/>
    <col width="15" customWidth="1" min="2" max="2"/>
    <col width="24" customWidth="1" min="3" max="3"/>
    <col width="32" customWidth="1" min="4" max="4"/>
    <col width="12" customWidth="1" min="5" max="5"/>
    <col width="10" customWidth="1" min="6" max="6"/>
    <col width="32" customWidth="1" min="7" max="7"/>
    <col width="46" customWidth="1" min="8" max="8"/>
    <col width="42" customWidth="1" min="9" max="9"/>
    <col width="12" customWidth="1" min="10" max="10"/>
    <col width="14" customWidth="1" min="11" max="11"/>
    <col width="13" customWidth="1" min="12" max="12"/>
    <col width="28" customWidth="1" min="13" max="13"/>
  </cols>
  <sheetData>
    <row r="1" ht="30" customHeight="1">
      <c r="A1" s="7" t="inlineStr">
        <is>
          <t>ID</t>
        </is>
      </c>
      <c r="B1" s="7" t="inlineStr">
        <is>
          <t>Requirement Ref</t>
        </is>
      </c>
      <c r="C1" s="7" t="inlineStr">
        <is>
          <t>Feature Area</t>
        </is>
      </c>
      <c r="D1" s="7" t="inlineStr">
        <is>
          <t>Scenario</t>
        </is>
      </c>
      <c r="E1" s="7" t="inlineStr">
        <is>
          <t>Type</t>
        </is>
      </c>
      <c r="F1" s="7" t="inlineStr">
        <is>
          <t>Priority</t>
        </is>
      </c>
      <c r="G1" s="7" t="inlineStr">
        <is>
          <t>Preconditions</t>
        </is>
      </c>
      <c r="H1" s="7" t="inlineStr">
        <is>
          <t>Test Steps</t>
        </is>
      </c>
      <c r="I1" s="7" t="inlineStr">
        <is>
          <t>Expected Result</t>
        </is>
      </c>
      <c r="J1" s="7" t="inlineStr">
        <is>
          <t>Status</t>
        </is>
      </c>
      <c r="K1" s="7" t="inlineStr">
        <is>
          <t>Tested By</t>
        </is>
      </c>
      <c r="L1" s="7" t="inlineStr">
        <is>
          <t>Date Tested</t>
        </is>
      </c>
      <c r="M1" s="7" t="inlineStr">
        <is>
          <t>Notes</t>
        </is>
      </c>
    </row>
    <row r="2" ht="93.75" customHeight="1">
      <c r="A2" s="8" t="inlineStr">
        <is>
          <t>AC-001</t>
        </is>
      </c>
      <c r="B2" s="8" t="inlineStr">
        <is>
          <t>FR-0.1</t>
        </is>
      </c>
      <c r="C2" s="8" t="inlineStr">
        <is>
          <t>Cross-Cutting Invariant</t>
        </is>
      </c>
      <c r="D2" s="8" t="inlineStr">
        <is>
          <t>Hard rules cannot be violated by any direct action</t>
        </is>
      </c>
      <c r="E2" s="8" t="inlineStr">
        <is>
          <t>Negative</t>
        </is>
      </c>
      <c r="F2" s="8" t="inlineStr">
        <is>
          <t>Must</t>
        </is>
      </c>
      <c r="G2" s="8" t="inlineStr">
        <is>
          <t>A wedding contains separate valid setups for: a full table; a Must-Sit-Together group; a Must-Not-Sit-Together rule; a Restricted Table with required Guests R1 and R2; and Guest A with Requires Accessible Table = Yes assigned to an Accessible table. Record the original assignments before testing.</t>
        </is>
      </c>
      <c r="H2" s="8" t="inlineStr">
        <is>
          <t>1. Attempt to add a guest to the full table.
2. Attempt to separate one member of the Must-Sit-Together group.
3. Attempt to place two guests covered by the Must-Not-Sit-Together rule at the same table.
4. Attempt to add an unlisted guest to the Restricted Table and to remove required Guest R1.
5. Attempt to move Guest A to a non-Accessible table.</t>
        </is>
      </c>
      <c r="I2" s="8" t="inlineStr">
        <is>
          <t>Each complete action is blocked before saving. No assignment changes from the recorded starting state. Each message identifies the applicable rule, affected guests, and affected table or tables. No override is offered.</t>
        </is>
      </c>
      <c r="J2" s="8" t="inlineStr">
        <is>
          <t>Not Run</t>
        </is>
      </c>
      <c r="K2" s="8" t="n"/>
      <c r="L2" s="8" t="n"/>
      <c r="M2" s="8" t="n"/>
    </row>
    <row r="3" ht="66" customHeight="1">
      <c r="A3" s="9" t="inlineStr">
        <is>
          <t>AC-002</t>
        </is>
      </c>
      <c r="B3" s="9" t="inlineStr">
        <is>
          <t>FR-0.1</t>
        </is>
      </c>
      <c r="C3" s="9" t="inlineStr">
        <is>
          <t>Cross-Cutting Invariant</t>
        </is>
      </c>
      <c r="D3" s="9" t="inlineStr">
        <is>
          <t>Indirect hard-rule violation flags the guest instead of hiding it</t>
        </is>
      </c>
      <c r="E3" s="9" t="inlineStr">
        <is>
          <t>Negative</t>
        </is>
      </c>
      <c r="F3" s="9" t="inlineStr">
        <is>
          <t>Must</t>
        </is>
      </c>
      <c r="G3" s="9" t="inlineStr">
        <is>
          <t>Guest A is Attending and assigned to Table 5. Table 5 is not Accessible. Guest A has Requires Accessible Table = No. The Current Plan Version is otherwise complete.</t>
        </is>
      </c>
      <c r="H3" s="9" t="inlineStr">
        <is>
          <t>1. Edit Guest A and change Requires Accessible Table from No to Yes.
2. Save the guest.
3. View the Current Plan Version, approval control, and event-ready export control.</t>
        </is>
      </c>
      <c r="I3" s="9" t="inlineStr">
        <is>
          <t>Guest A is marked Needs Reassignment and is not presented as validly assigned to Table 5. The plan is visibly incomplete. No other guest is moved automatically. Approval and event-ready export are unavailable until Guest A receives a valid assignment.</t>
        </is>
      </c>
      <c r="J3" s="9" t="inlineStr">
        <is>
          <t>Not Run</t>
        </is>
      </c>
      <c r="K3" s="9" t="n"/>
      <c r="L3" s="9" t="n"/>
      <c r="M3" s="9" t="n"/>
    </row>
    <row r="4" ht="66" customHeight="1">
      <c r="A4" s="8" t="inlineStr">
        <is>
          <t>AC-003</t>
        </is>
      </c>
      <c r="B4" s="8" t="inlineStr">
        <is>
          <t>FR-0.2</t>
        </is>
      </c>
      <c r="C4" s="8" t="inlineStr">
        <is>
          <t>Cross-Cutting Invariant</t>
        </is>
      </c>
      <c r="D4" s="8" t="inlineStr">
        <is>
          <t>Soft-rule violations warn but never block</t>
        </is>
      </c>
      <c r="E4" s="8" t="inlineStr">
        <is>
          <t>Positive</t>
        </is>
      </c>
      <c r="F4" s="8" t="inlineStr">
        <is>
          <t>Must</t>
        </is>
      </c>
      <c r="G4" s="8" t="inlineStr">
        <is>
          <t>Guests A and B are Attending, assigned to the same table, and linked by a Prefer-Near rule. An Edit user is signed in. Moving Guest B to Table 2 would violate no hard rule.</t>
        </is>
      </c>
      <c r="H4" s="8" t="inlineStr">
        <is>
          <t>1. Move Guest B from the shared table to Table 2.
2. View the saved plan and the soft-preference information.</t>
        </is>
      </c>
      <c r="I4" s="8" t="inlineStr">
        <is>
          <t>The move is saved. A visible, non-blocking warning identifies the Prefer-Near preference. No hard-rule error is shown solely because the preference is unsatisfied.</t>
        </is>
      </c>
      <c r="J4" s="8" t="inlineStr">
        <is>
          <t>Not Run</t>
        </is>
      </c>
      <c r="K4" s="8" t="n"/>
      <c r="L4" s="8" t="n"/>
      <c r="M4" s="8" t="n"/>
    </row>
    <row r="5" ht="66" customHeight="1">
      <c r="A5" s="9" t="inlineStr">
        <is>
          <t>AC-004</t>
        </is>
      </c>
      <c r="B5" s="9" t="inlineStr">
        <is>
          <t>FR-1.1</t>
        </is>
      </c>
      <c r="C5" s="9" t="inlineStr">
        <is>
          <t>Account &amp; Wedding Management</t>
        </is>
      </c>
      <c r="D5" s="9" t="inlineStr">
        <is>
          <t>Create an account with multiple weddings</t>
        </is>
      </c>
      <c r="E5" s="9" t="inlineStr">
        <is>
          <t>Positive</t>
        </is>
      </c>
      <c r="F5" s="9" t="inlineStr">
        <is>
          <t>Must</t>
        </is>
      </c>
      <c r="G5" s="9" t="inlineStr">
        <is>
          <t>No planner account exists for the test email address.</t>
        </is>
      </c>
      <c r="H5" s="9" t="inlineStr">
        <is>
          <t>1. Create a planner account with the test email.
2. Create Wedding A.
3. Create Wedding B.
4. Open each wedding from the account.</t>
        </is>
      </c>
      <c r="I5" s="9" t="inlineStr">
        <is>
          <t>Both weddings appear in the planner account and each opens independently.</t>
        </is>
      </c>
      <c r="J5" s="9" t="inlineStr">
        <is>
          <t>Not Run</t>
        </is>
      </c>
      <c r="K5" s="9" t="n"/>
      <c r="L5" s="9" t="n"/>
      <c r="M5" s="9" t="n"/>
    </row>
    <row r="6" ht="63" customHeight="1">
      <c r="A6" s="8" t="inlineStr">
        <is>
          <t>AC-005</t>
        </is>
      </c>
      <c r="B6" s="8" t="inlineStr">
        <is>
          <t>FR-1.2</t>
        </is>
      </c>
      <c r="C6" s="8" t="inlineStr">
        <is>
          <t>Account &amp; Wedding Management</t>
        </is>
      </c>
      <c r="D6" s="8" t="inlineStr">
        <is>
          <t>Wedding data is fully isolated from other weddings on the same account</t>
        </is>
      </c>
      <c r="E6" s="8" t="inlineStr">
        <is>
          <t>Negative</t>
        </is>
      </c>
      <c r="F6" s="8" t="inlineStr">
        <is>
          <t>Must</t>
        </is>
      </c>
      <c r="G6" s="8" t="inlineStr">
        <is>
          <t>The same planner owns Wedding A and Wedding B. Each wedding has distinct baseline data.</t>
        </is>
      </c>
      <c r="H6" s="8" t="inlineStr">
        <is>
          <t>1. Create a unique guest, rule, table, floor-plan position, Plan Version, comment, activity entry, and access grant in Wedding A.
2. Search and inspect all corresponding views, notifications, exports, and direct requests in Wedding B.</t>
        </is>
      </c>
      <c r="I6" s="8" t="inlineStr">
        <is>
          <t>Every item created in Wedding A is absent from Wedding B and no Wedding A data is returned through Wedding B.</t>
        </is>
      </c>
      <c r="J6" s="8" t="inlineStr">
        <is>
          <t>Not Run</t>
        </is>
      </c>
      <c r="K6" s="8" t="n"/>
      <c r="L6" s="8" t="n"/>
      <c r="M6" s="8" t="n"/>
    </row>
    <row r="7" ht="79.5" customHeight="1">
      <c r="A7" s="9" t="inlineStr">
        <is>
          <t>AC-006</t>
        </is>
      </c>
      <c r="B7" s="9" t="inlineStr">
        <is>
          <t>FR-1.3</t>
        </is>
      </c>
      <c r="C7" s="9" t="inlineStr">
        <is>
          <t>Account &amp; Wedding Management</t>
        </is>
      </c>
      <c r="D7" s="9" t="inlineStr">
        <is>
          <t>Enter and save basic wedding details</t>
        </is>
      </c>
      <c r="E7" s="9" t="inlineStr">
        <is>
          <t>Positive</t>
        </is>
      </c>
      <c r="F7" s="9" t="inlineStr">
        <is>
          <t>Should</t>
        </is>
      </c>
      <c r="G7" s="9" t="inlineStr">
        <is>
          <t>A new wedding is being created.</t>
        </is>
      </c>
      <c r="H7" s="9" t="inlineStr">
        <is>
          <t>1. Enter the couple's names, wedding date, and venue name.
2. Leave the optional note blank and save.
3. Reopen the wedding.</t>
        </is>
      </c>
      <c r="I7" s="9" t="inlineStr">
        <is>
          <t>The wedding saves and redisplays the entered values without requiring a note.</t>
        </is>
      </c>
      <c r="J7" s="9" t="inlineStr">
        <is>
          <t>Not Run</t>
        </is>
      </c>
      <c r="K7" s="9" t="n"/>
      <c r="L7" s="9" t="n"/>
      <c r="M7" s="9" t="n"/>
    </row>
    <row r="8" ht="51.75" customHeight="1">
      <c r="A8" s="8" t="inlineStr">
        <is>
          <t>AC-007</t>
        </is>
      </c>
      <c r="B8" s="8" t="inlineStr">
        <is>
          <t>FR-1.3a</t>
        </is>
      </c>
      <c r="C8" s="8" t="inlineStr">
        <is>
          <t>Account &amp; Wedding Management</t>
        </is>
      </c>
      <c r="D8" s="8" t="inlineStr">
        <is>
          <t>Custom side labels apply everywhere Side is shown</t>
        </is>
      </c>
      <c r="E8" s="8" t="inlineStr">
        <is>
          <t>Positive</t>
        </is>
      </c>
      <c r="F8" s="8" t="inlineStr">
        <is>
          <t>Should</t>
        </is>
      </c>
      <c r="G8" s="8" t="inlineStr">
        <is>
          <t>Guest A is assigned to configured Side 1, Guest B to configured Side 2, and Guest C to Both. At least one rule and current assignment refers to each guest.</t>
        </is>
      </c>
      <c r="H8" s="8" t="inlineStr">
        <is>
          <t>1. Rename Side 1 and Side 2.
2. Inspect every Side display in guest, rule, and plan views.
3. Reopen Guests A, B, and C.</t>
        </is>
      </c>
      <c r="I8" s="8" t="inlineStr">
        <is>
          <t>The new labels appear everywhere. Guests A and B remain attached to their original underlying sides, Guest C remains Both, Both remains selectable, and no guest, rule, or assignment is recreated or lost.</t>
        </is>
      </c>
      <c r="J8" s="8" t="inlineStr">
        <is>
          <t>Not Run</t>
        </is>
      </c>
      <c r="K8" s="8" t="n"/>
      <c r="L8" s="8" t="n"/>
      <c r="M8" s="8" t="n"/>
    </row>
    <row r="9" ht="51.75" customHeight="1">
      <c r="A9" s="9" t="inlineStr">
        <is>
          <t>AC-008</t>
        </is>
      </c>
      <c r="B9" s="9" t="inlineStr">
        <is>
          <t>FR-1.4</t>
        </is>
      </c>
      <c r="C9" s="9" t="inlineStr">
        <is>
          <t>Account &amp; Wedding Management</t>
        </is>
      </c>
      <c r="D9" s="9" t="inlineStr">
        <is>
          <t>Invite a collaborator with a specific permission level</t>
        </is>
      </c>
      <c r="E9" s="9" t="inlineStr">
        <is>
          <t>Positive</t>
        </is>
      </c>
      <c r="F9" s="9" t="inlineStr">
        <is>
          <t>Must</t>
        </is>
      </c>
      <c r="G9" s="9" t="inlineStr">
        <is>
          <t>A wedding exists. Test accounts exist for a Couple user and a Collaborator user.</t>
        </is>
      </c>
      <c r="H9" s="9" t="inlineStr">
        <is>
          <t>1. Invite the Couple account with Comment permission.
2. Invite the Collaborator account with Edit permission.
3. Inspect the pending invitations and access list.</t>
        </is>
      </c>
      <c r="I9" s="9" t="inlineStr">
        <is>
          <t>Each invitation records role and permission separately. The Couple invitation shows Couple and Comment; the Collaborator invitation shows Collaborator and Edit. Both remain pending until accepted.</t>
        </is>
      </c>
      <c r="J9" s="9" t="inlineStr">
        <is>
          <t>Not Run</t>
        </is>
      </c>
      <c r="K9" s="9" t="n"/>
      <c r="L9" s="9" t="n"/>
      <c r="M9" s="9" t="n"/>
    </row>
    <row r="10" ht="63" customHeight="1">
      <c r="A10" s="8" t="inlineStr">
        <is>
          <t>AC-009</t>
        </is>
      </c>
      <c r="B10" s="8" t="inlineStr">
        <is>
          <t>FR-1.4a</t>
        </is>
      </c>
      <c r="C10" s="8" t="inlineStr">
        <is>
          <t>Account &amp; Wedding Management</t>
        </is>
      </c>
      <c r="D10" s="8" t="inlineStr">
        <is>
          <t>Invited person must authenticate before seeing any data</t>
        </is>
      </c>
      <c r="E10" s="8" t="inlineStr">
        <is>
          <t>Negative</t>
        </is>
      </c>
      <c r="F10" s="8" t="inlineStr">
        <is>
          <t>Must</t>
        </is>
      </c>
      <c r="G10" s="8" t="inlineStr">
        <is>
          <t>Invitation links are available for new, expired, revoked, already accepted, and wrong-signed-in-account conditions.</t>
        </is>
      </c>
      <c r="H10" s="8" t="inlineStr">
        <is>
          <t>1. Inspect a new invitation email.
2. Open its link while signed out, then accept using the invited account.
3. Open separate expired, revoked, and already accepted links.
4. Open a valid link while signed in as a different account.</t>
        </is>
      </c>
      <c r="I10" s="8" t="inlineStr">
        <is>
          <t>The email contains no guest data. Wedding data is hidden until the invitation is accepted by the invited account. Expired, revoked, already accepted, and wrong-account conditions are stated without revealing wedding data or granting access.</t>
        </is>
      </c>
      <c r="J10" s="8" t="inlineStr">
        <is>
          <t>Not Run</t>
        </is>
      </c>
      <c r="K10" s="8" t="n"/>
      <c r="L10" s="8" t="n"/>
      <c r="M10" s="8" t="n"/>
    </row>
    <row r="11" ht="51.75" customHeight="1">
      <c r="A11" s="9" t="inlineStr">
        <is>
          <t>AC-010</t>
        </is>
      </c>
      <c r="B11" s="9" t="inlineStr">
        <is>
          <t>FR-1.5</t>
        </is>
      </c>
      <c r="C11" s="9" t="inlineStr">
        <is>
          <t>Account &amp; Wedding Management</t>
        </is>
      </c>
      <c r="D11" s="9" t="inlineStr">
        <is>
          <t>Invited collaborator sees only the wedding(s) they were invited to</t>
        </is>
      </c>
      <c r="E11" s="9" t="inlineStr">
        <is>
          <t>Negative</t>
        </is>
      </c>
      <c r="F11" s="9" t="inlineStr">
        <is>
          <t>Must</t>
        </is>
      </c>
      <c r="G11" s="9" t="inlineStr">
        <is>
          <t>A planner owns Wedding A and Wedding B. The collaborator account has access only to Wedding A.</t>
        </is>
      </c>
      <c r="H11" s="9" t="inlineStr">
        <is>
          <t>1. Sign in as the collaborator.
2. Search, inspect navigation, use a saved link, and directly request Wedding B data.</t>
        </is>
      </c>
      <c r="I11" s="9" t="inlineStr">
        <is>
          <t>Wedding A is accessible. No Wedding B title, client, guest, rule, table, plan, comment, activity, or file data is visible or returned.</t>
        </is>
      </c>
      <c r="J11" s="9" t="inlineStr">
        <is>
          <t>Not Run</t>
        </is>
      </c>
      <c r="K11" s="9" t="n"/>
      <c r="L11" s="9" t="n"/>
      <c r="M11" s="9" t="n"/>
    </row>
    <row r="12" ht="79.5" customHeight="1">
      <c r="A12" s="8" t="inlineStr">
        <is>
          <t>AC-011</t>
        </is>
      </c>
      <c r="B12" s="8" t="inlineStr">
        <is>
          <t>FR-1.6</t>
        </is>
      </c>
      <c r="C12" s="8" t="inlineStr">
        <is>
          <t>Account &amp; Wedding Management</t>
        </is>
      </c>
      <c r="D12" s="8" t="inlineStr">
        <is>
          <t>Revoking access takes effect immediately</t>
        </is>
      </c>
      <c r="E12" s="8" t="inlineStr">
        <is>
          <t>Negative</t>
        </is>
      </c>
      <c r="F12" s="8" t="inlineStr">
        <is>
          <t>Must</t>
        </is>
      </c>
      <c r="G12" s="8" t="inlineStr">
        <is>
          <t>A collaborator has Edit access and Wedding A open. A timer is available.</t>
        </is>
      </c>
      <c r="H12" s="8" t="inlineStr">
        <is>
          <t>1. As Planner, change the collaborator from Edit to View and save; on the collaborator page, submit an edit request.
2. Restore Edit access, then revoke access and save.
3. From the already-open page and a saved link, attempt reads and writes while timing from each save.</t>
        </is>
      </c>
      <c r="I12" s="8" t="inlineStr">
        <is>
          <t>The changed permission is enforced on the next request and no later than five seconds after saving. After revocation, reads and writes are denied from both the open page and saved link.</t>
        </is>
      </c>
      <c r="J12" s="8" t="inlineStr">
        <is>
          <t>Not Run</t>
        </is>
      </c>
      <c r="K12" s="8" t="n"/>
      <c r="L12" s="8" t="n"/>
      <c r="M12" s="8" t="n"/>
    </row>
    <row r="13" ht="66" customHeight="1">
      <c r="A13" s="9" t="inlineStr">
        <is>
          <t>AC-012</t>
        </is>
      </c>
      <c r="B13" s="9" t="inlineStr">
        <is>
          <t>FR-2.1</t>
        </is>
      </c>
      <c r="C13" s="9" t="inlineStr">
        <is>
          <t>Guest List Management</t>
        </is>
      </c>
      <c r="D13" s="9" t="inlineStr">
        <is>
          <t>Create a guest with only a name; defaults apply</t>
        </is>
      </c>
      <c r="E13" s="9" t="inlineStr">
        <is>
          <t>Positive</t>
        </is>
      </c>
      <c r="F13" s="9" t="inlineStr">
        <is>
          <t>Must</t>
        </is>
      </c>
      <c r="G13" s="9" t="inlineStr">
        <is>
          <t>A wedding exists.</t>
        </is>
      </c>
      <c r="H13" s="9" t="inlineStr">
        <is>
          <t>1. Add a guest with only a full name (leave all other fields blank).</t>
        </is>
      </c>
      <c r="I13" s="9" t="inlineStr">
        <is>
          <t>the guest saves with Attendance Status = Attending, Side = Both, Relationship Tier = Unspecified, and an editable household/party grouping; and Unspecified creates no relationship-tier seating preference.</t>
        </is>
      </c>
      <c r="J13" s="9" t="inlineStr">
        <is>
          <t>Not Run</t>
        </is>
      </c>
      <c r="K13" s="9" t="n"/>
      <c r="L13" s="9" t="n"/>
      <c r="M13" s="9" t="n"/>
    </row>
    <row r="14" ht="51.75" customHeight="1">
      <c r="A14" s="8" t="inlineStr">
        <is>
          <t>AC-013</t>
        </is>
      </c>
      <c r="B14" s="8" t="inlineStr">
        <is>
          <t>FR-2.2</t>
        </is>
      </c>
      <c r="C14" s="8" t="inlineStr">
        <is>
          <t>Guest List Management</t>
        </is>
      </c>
      <c r="D14" s="8" t="inlineStr">
        <is>
          <t>Optional guest fields save correctly</t>
        </is>
      </c>
      <c r="E14" s="8" t="inlineStr">
        <is>
          <t>Positive</t>
        </is>
      </c>
      <c r="F14" s="8" t="inlineStr">
        <is>
          <t>Should</t>
        </is>
      </c>
      <c r="G14" s="8" t="inlineStr">
        <is>
          <t>A wedding exists.</t>
        </is>
      </c>
      <c r="H14" s="8" t="inlineStr">
        <is>
          <t>1. Add a guest and fill in a plus-one indicator, dietary notes, accessibility notes, an age category, and free-text notes, leaving Requires Accessible Table set to No.
2. Save the guest.</t>
        </is>
      </c>
      <c r="I14" s="8" t="inlineStr">
        <is>
          <t>every value redisplays correctly and the notes alone create no accessible-table constraint; when Requires Accessible Table is changed to Yes, then FR-3.8 applies.</t>
        </is>
      </c>
      <c r="J14" s="8" t="inlineStr">
        <is>
          <t>Not Run</t>
        </is>
      </c>
      <c r="K14" s="8" t="n"/>
      <c r="L14" s="8" t="n"/>
      <c r="M14" s="8" t="n"/>
    </row>
    <row r="15" ht="121.5" customHeight="1">
      <c r="A15" s="9" t="inlineStr">
        <is>
          <t>AC-014</t>
        </is>
      </c>
      <c r="B15" s="9" t="inlineStr">
        <is>
          <t>FR-2.2a</t>
        </is>
      </c>
      <c r="C15" s="9" t="inlineStr">
        <is>
          <t>Guest List Management</t>
        </is>
      </c>
      <c r="D15" s="9" t="inlineStr">
        <is>
          <t>Plus-one is created as its own record, even before their name is known</t>
        </is>
      </c>
      <c r="E15" s="9" t="inlineStr">
        <is>
          <t>Positive</t>
        </is>
      </c>
      <c r="F15" s="9" t="inlineStr">
        <is>
          <t>Should</t>
        </is>
      </c>
      <c r="G15" s="9" t="inlineStr">
        <is>
          <t>An inviting guest's plus-one name is not yet known.</t>
        </is>
      </c>
      <c r="H15" s="9" t="inlineStr">
        <is>
          <t>1. Mark the inviting guest as bringing a plus-one without entering a name.
2. Save.</t>
        </is>
      </c>
      <c r="I15" s="9" t="inlineStr">
        <is>
          <t>a distinct placeholder guest record is created in the same household with Relationship Tier = Plus-One; when the placeholder is later renamed, then its stable identity, household, rules, comments, history, and valid current table assignment remain attached to that record.</t>
        </is>
      </c>
      <c r="J15" s="9" t="inlineStr">
        <is>
          <t>Not Run</t>
        </is>
      </c>
      <c r="K15" s="9" t="n"/>
      <c r="L15" s="9" t="n"/>
      <c r="M15" s="9" t="n"/>
    </row>
    <row r="16" ht="63" customHeight="1">
      <c r="A16" s="8" t="inlineStr">
        <is>
          <t>AC-015</t>
        </is>
      </c>
      <c r="B16" s="8" t="inlineStr">
        <is>
          <t>FR-2.3</t>
        </is>
      </c>
      <c r="C16" s="8" t="inlineStr">
        <is>
          <t>Guest List Management</t>
        </is>
      </c>
      <c r="D16" s="8" t="inlineStr">
        <is>
          <t>Add, edit, and remove a single guest</t>
        </is>
      </c>
      <c r="E16" s="8" t="inlineStr">
        <is>
          <t>Positive</t>
        </is>
      </c>
      <c r="F16" s="8" t="inlineStr">
        <is>
          <t>Must</t>
        </is>
      </c>
      <c r="G16" s="8" t="inlineStr">
        <is>
          <t>A guest has a current table assignment, at least one rule referencing them, and prior activity history.</t>
        </is>
      </c>
      <c r="H16" s="8" t="inlineStr">
        <is>
          <t>1. Remove the guest through the guest form.</t>
        </is>
      </c>
      <c r="I16" s="8" t="inlineStr">
        <is>
          <t>the guest is removed from the active guest list and Current Plan Version, affected assignments and rules are rechecked, rules referencing the removed guest are identified for review, and the guest’s historical name, assignments, and activity remain visible in history.</t>
        </is>
      </c>
      <c r="J16" s="8" t="inlineStr">
        <is>
          <t>Not Run</t>
        </is>
      </c>
      <c r="K16" s="8" t="n"/>
      <c r="L16" s="8" t="n"/>
      <c r="M16" s="8" t="n"/>
    </row>
    <row r="17" ht="79.5" customHeight="1">
      <c r="A17" s="9" t="inlineStr">
        <is>
          <t>AC-016</t>
        </is>
      </c>
      <c r="B17" s="9" t="inlineStr">
        <is>
          <t>FR-2.4</t>
        </is>
      </c>
      <c r="C17" s="9" t="inlineStr">
        <is>
          <t>Guest List Management</t>
        </is>
      </c>
      <c r="D17" s="9" t="inlineStr">
        <is>
          <t>Bulk import reports per-row errors specifically</t>
        </is>
      </c>
      <c r="E17" s="9" t="inlineStr">
        <is>
          <t>Negative</t>
        </is>
      </c>
      <c r="F17" s="9" t="inlineStr">
        <is>
          <t>Must</t>
        </is>
      </c>
      <c r="G17" s="9" t="inlineStr">
        <is>
          <t>A spreadsheet contains a mix of valid and invalid guest rows (e.g., one row missing a name).</t>
        </is>
      </c>
      <c r="H17" s="9" t="inlineStr">
        <is>
          <t>1. Map the spreadsheet columns to Seatwise fields and run validation.</t>
        </is>
      </c>
      <c r="I17" s="9" t="inlineStr">
        <is>
          <t>each invalid row is reported with its source row number and a specific reason and no row is written before confirmation; when the planner confirms an import that passes validation, then the import is applied as one operation, and if the committed operation fails unexpectedly, none of its rows remain written.</t>
        </is>
      </c>
      <c r="J17" s="9" t="inlineStr">
        <is>
          <t>Not Run</t>
        </is>
      </c>
      <c r="K17" s="9" t="n"/>
      <c r="L17" s="9" t="n"/>
      <c r="M17" s="9" t="n"/>
    </row>
    <row r="18" ht="79.5" customHeight="1">
      <c r="A18" s="8" t="inlineStr">
        <is>
          <t>AC-017</t>
        </is>
      </c>
      <c r="B18" s="8" t="inlineStr">
        <is>
          <t>FR-2.4a</t>
        </is>
      </c>
      <c r="C18" s="8" t="inlineStr">
        <is>
          <t>Guest List Management</t>
        </is>
      </c>
      <c r="D18" s="8" t="inlineStr">
        <is>
          <t>Import preview shows new-vs-updated counts before anything is written</t>
        </is>
      </c>
      <c r="E18" s="8" t="inlineStr">
        <is>
          <t>Positive</t>
        </is>
      </c>
      <c r="F18" s="8" t="inlineStr">
        <is>
          <t>Must</t>
        </is>
      </c>
      <c r="G18" s="8" t="inlineStr">
        <is>
          <t>An import file contains new rows, one row with a valid Seatwise Guest ID, two rows targeting the same Seatwise Guest ID, one row with an unknown Seatwise Guest ID, and rows with blank mapped fields.</t>
        </is>
      </c>
      <c r="H18" s="8" t="inlineStr">
        <is>
          <t>1. Map the columns and advance to the import preview screen.</t>
        </is>
      </c>
      <c r="I18" s="8" t="inlineStr">
        <is>
          <t>it separately identifies additions, updates, and row errors; names are not used for automatic matching; duplicate, repeated-target, and unknown IDs are errors; blank values leave existing values unchanged unless Clear is explicitly selected; no guest is deleted; and nothing is written until confirmation.</t>
        </is>
      </c>
      <c r="J18" s="8" t="inlineStr">
        <is>
          <t>Not Run</t>
        </is>
      </c>
      <c r="K18" s="8" t="n"/>
      <c r="L18" s="8" t="n"/>
      <c r="M18" s="8" t="n"/>
    </row>
    <row r="19" ht="79.5" customHeight="1">
      <c r="A19" s="9" t="inlineStr">
        <is>
          <t>AC-018</t>
        </is>
      </c>
      <c r="B19" s="9" t="inlineStr">
        <is>
          <t>FR-2.5</t>
        </is>
      </c>
      <c r="C19" s="9" t="inlineStr">
        <is>
          <t>Guest List Management</t>
        </is>
      </c>
      <c r="D19" s="9" t="inlineStr">
        <is>
          <t>Household is a soft default; an explicit rule makes it hard</t>
        </is>
      </c>
      <c r="E19" s="9" t="inlineStr">
        <is>
          <t>Positive</t>
        </is>
      </c>
      <c r="F19" s="9" t="inlineStr">
        <is>
          <t>Must</t>
        </is>
      </c>
      <c r="G19" s="9" t="inlineStr">
        <is>
          <t>Three Attending guests share a household with no Must-Sit-Together rule.</t>
        </is>
      </c>
      <c r="H19" s="9" t="inlineStr">
        <is>
          <t>1. Move one household member to a different valid table.
2. Create an explicit Must-Sit-Together rule for the household.
3. Attempt the same separating move again.</t>
        </is>
      </c>
      <c r="I19" s="9" t="inlineStr">
        <is>
          <t>the move succeeds with a non-blocking household warning; given a Must-Sit-Together rule is then created for the household, when the same separating move is attempted, then the move is blocked as a hard-rule violation.</t>
        </is>
      </c>
      <c r="J19" s="9" t="inlineStr">
        <is>
          <t>Not Run</t>
        </is>
      </c>
      <c r="K19" s="9" t="n"/>
      <c r="L19" s="9" t="n"/>
      <c r="M19" s="9" t="n"/>
    </row>
    <row r="20" ht="66" customHeight="1">
      <c r="A20" s="8" t="inlineStr">
        <is>
          <t>AC-019</t>
        </is>
      </c>
      <c r="B20" s="8" t="inlineStr">
        <is>
          <t>FR-2.6</t>
        </is>
      </c>
      <c r="C20" s="8" t="inlineStr">
        <is>
          <t>Guest List Management</t>
        </is>
      </c>
      <c r="D20" s="8" t="inlineStr">
        <is>
          <t>Search, filter, and sort the guest list</t>
        </is>
      </c>
      <c r="E20" s="8" t="inlineStr">
        <is>
          <t>Positive</t>
        </is>
      </c>
      <c r="F20" s="8" t="inlineStr">
        <is>
          <t>Should</t>
        </is>
      </c>
      <c r="G20" s="8" t="inlineStr">
        <is>
          <t>Guests vary by name, Attendance Status, side, Relationship Tier, household, table, Requires Accessible Table, and assignment state.</t>
        </is>
      </c>
      <c r="H20" s="8" t="inlineStr">
        <is>
          <t>1. Apply each supported filter and sort option individually.
2. Combine two or more compatible filters.</t>
        </is>
      </c>
      <c r="I20" s="8" t="inlineStr">
        <is>
          <t>the displayed results match all active selections and the interface visibly identifies every active filter.</t>
        </is>
      </c>
      <c r="J20" s="8" t="inlineStr">
        <is>
          <t>Not Run</t>
        </is>
      </c>
      <c r="K20" s="8" t="n"/>
      <c r="L20" s="8" t="n"/>
      <c r="M20" s="8" t="n"/>
    </row>
    <row r="21" ht="66" customHeight="1">
      <c r="A21" s="9" t="inlineStr">
        <is>
          <t>AC-020</t>
        </is>
      </c>
      <c r="B21" s="9" t="inlineStr">
        <is>
          <t>FR-2.7</t>
        </is>
      </c>
      <c r="C21" s="9" t="inlineStr">
        <is>
          <t>Guest List Management</t>
        </is>
      </c>
      <c r="D21" s="9" t="inlineStr">
        <is>
          <t>Unseated guests are surfaced prominently</t>
        </is>
      </c>
      <c r="E21" s="9" t="inlineStr">
        <is>
          <t>Positive</t>
        </is>
      </c>
      <c r="F21" s="9" t="inlineStr">
        <is>
          <t>Should</t>
        </is>
      </c>
      <c r="G21" s="9" t="inlineStr">
        <is>
          <t>One Attending guest is Assigned, one is Unassigned, one is Needs Reassignment, and one is Not Attending.</t>
        </is>
      </c>
      <c r="H21" s="9" t="inlineStr">
        <is>
          <t>1. View the guest list and the plan.</t>
        </is>
      </c>
      <c r="I21" s="9" t="inlineStr">
        <is>
          <t>the first three display their exact assignment states, Unassigned and Needs Reassignment are prominent and block completeness, and Not Attending occupies no capacity and is excluded from unassigned warnings.</t>
        </is>
      </c>
      <c r="J21" s="9" t="inlineStr">
        <is>
          <t>Not Run</t>
        </is>
      </c>
      <c r="K21" s="9" t="n"/>
      <c r="L21" s="9" t="n"/>
      <c r="M21" s="9" t="n"/>
    </row>
    <row r="22" ht="66" customHeight="1">
      <c r="A22" s="8" t="inlineStr">
        <is>
          <t>AC-021</t>
        </is>
      </c>
      <c r="B22" s="8" t="inlineStr">
        <is>
          <t>FR-2.8</t>
        </is>
      </c>
      <c r="C22" s="8" t="inlineStr">
        <is>
          <t>Guest List Management</t>
        </is>
      </c>
      <c r="D22" s="8" t="inlineStr">
        <is>
          <t>Guests with the same name are visually disambiguated everywhere</t>
        </is>
      </c>
      <c r="E22" s="8" t="inlineStr">
        <is>
          <t>Positive</t>
        </is>
      </c>
      <c r="F22" s="8" t="inlineStr">
        <is>
          <t>Should</t>
        </is>
      </c>
      <c r="G22" s="8" t="inlineStr">
        <is>
          <t>Two distinct guests share the same full name but belong to different households or sides.</t>
        </is>
      </c>
      <c r="H22" s="8" t="inlineStr">
        <is>
          <t>1. Search for or select that name in the guest list, rule creation, comments, and assignment views.</t>
        </is>
      </c>
      <c r="I22" s="8" t="inlineStr">
        <is>
          <t>both records appear separately with enough side or household context to select the intended guest.</t>
        </is>
      </c>
      <c r="J22" s="8" t="inlineStr">
        <is>
          <t>Not Run</t>
        </is>
      </c>
      <c r="K22" s="8" t="n"/>
      <c r="L22" s="8" t="n"/>
      <c r="M22" s="8" t="n"/>
    </row>
    <row r="23" ht="51.75" customHeight="1">
      <c r="A23" s="9" t="inlineStr">
        <is>
          <t>AC-022</t>
        </is>
      </c>
      <c r="B23" s="9" t="inlineStr">
        <is>
          <t>FR-2.9</t>
        </is>
      </c>
      <c r="C23" s="9" t="inlineStr">
        <is>
          <t>Guest List Management</t>
        </is>
      </c>
      <c r="D23" s="9" t="inlineStr">
        <is>
          <t>Editing a guest re-checks their existing seat against hard rules</t>
        </is>
      </c>
      <c r="E23" s="9" t="inlineStr">
        <is>
          <t>Negative</t>
        </is>
      </c>
      <c r="F23" s="9" t="inlineStr">
        <is>
          <t>Must</t>
        </is>
      </c>
      <c r="G23" s="9" t="inlineStr">
        <is>
          <t>A seated guest's Attendance Status, Side, Relationship Tier, household, age category, Requires Accessible Table value, or identity is changed through the form or an import.</t>
        </is>
      </c>
      <c r="H23" s="9" t="inlineStr">
        <is>
          <t>1. Save the change.</t>
        </is>
      </c>
      <c r="I23" s="9" t="inlineStr">
        <is>
          <t>the current assignment and affected hard rules are rechecked; if the assignment is invalid, the guest becomes Needs Reassignment even when the guest or table was locked for generation.</t>
        </is>
      </c>
      <c r="J23" s="9" t="inlineStr">
        <is>
          <t>Not Run</t>
        </is>
      </c>
      <c r="K23" s="9" t="n"/>
      <c r="L23" s="9" t="n"/>
      <c r="M23" s="9" t="n"/>
    </row>
    <row r="24" ht="79.5" customHeight="1">
      <c r="A24" s="8" t="inlineStr">
        <is>
          <t>AC-023</t>
        </is>
      </c>
      <c r="B24" s="8" t="inlineStr">
        <is>
          <t>FR-3.1</t>
        </is>
      </c>
      <c r="C24" s="8" t="inlineStr">
        <is>
          <t>Relationships &amp; Seating Rules</t>
        </is>
      </c>
      <c r="D24" s="8" t="inlineStr">
        <is>
          <t>Must-Sit-Together is enforced by both generation and manual editing</t>
        </is>
      </c>
      <c r="E24" s="8" t="inlineStr">
        <is>
          <t>Positive</t>
        </is>
      </c>
      <c r="F24" s="8" t="inlineStr">
        <is>
          <t>Must</t>
        </is>
      </c>
      <c r="G24" s="8" t="inlineStr">
        <is>
          <t>Guest A must sit with Guest B, and Guest B must sit with Guest C.</t>
        </is>
      </c>
      <c r="H24" s="8" t="inlineStr">
        <is>
          <t>1. Save the rule set.
2. Generate a plan.</t>
        </is>
      </c>
      <c r="I24" s="8" t="inlineStr">
        <is>
          <t>all three Attending guests are treated as one transitive group and share one table; when a separating manual move is attempted, it is blocked; and when no eligible table can hold the group, rule creation or editing is blocked with the capacity or eligibility conflict identified.</t>
        </is>
      </c>
      <c r="J24" s="8" t="inlineStr">
        <is>
          <t>Not Run</t>
        </is>
      </c>
      <c r="K24" s="8" t="n"/>
      <c r="L24" s="8" t="n"/>
      <c r="M24" s="8" t="n"/>
    </row>
    <row r="25" ht="79.5" customHeight="1">
      <c r="A25" s="9" t="inlineStr">
        <is>
          <t>AC-024</t>
        </is>
      </c>
      <c r="B25" s="9" t="inlineStr">
        <is>
          <t>FR-3.2</t>
        </is>
      </c>
      <c r="C25" s="9" t="inlineStr">
        <is>
          <t>Relationships &amp; Seating Rules</t>
        </is>
      </c>
      <c r="D25" s="9" t="inlineStr">
        <is>
          <t>Must-Not-Sit-Together is enforced by both generation and manual editing</t>
        </is>
      </c>
      <c r="E25" s="9" t="inlineStr">
        <is>
          <t>Negative</t>
        </is>
      </c>
      <c r="F25" s="9" t="inlineStr">
        <is>
          <t>Must</t>
        </is>
      </c>
      <c r="G25" s="9" t="inlineStr">
        <is>
          <t>A Must-Not-Sit-Together rule covers Guests A, B, and C.</t>
        </is>
      </c>
      <c r="H25" s="9" t="inlineStr">
        <is>
          <t>1. Generate a plan.
2. Attempt to manually assign two of the covered guests to the same table.</t>
        </is>
      </c>
      <c r="I25" s="9" t="inlineStr">
        <is>
          <t>A cannot share a table with B or C and B cannot share a table with C; any manual action that would co-seat a pair is blocked.</t>
        </is>
      </c>
      <c r="J25" s="9" t="inlineStr">
        <is>
          <t>Not Run</t>
        </is>
      </c>
      <c r="K25" s="9" t="n"/>
      <c r="L25" s="9" t="n"/>
      <c r="M25" s="9" t="n"/>
    </row>
    <row r="26" ht="79.5" customHeight="1">
      <c r="A26" s="8" t="inlineStr">
        <is>
          <t>AC-025</t>
        </is>
      </c>
      <c r="B26" s="8" t="inlineStr">
        <is>
          <t>FR-3.3</t>
        </is>
      </c>
      <c r="C26" s="8" t="inlineStr">
        <is>
          <t>Relationships &amp; Seating Rules</t>
        </is>
      </c>
      <c r="D26" s="8" t="inlineStr">
        <is>
          <t>Prefer-Near / Prefer-Avoid influence generation but never block a manual move</t>
        </is>
      </c>
      <c r="E26" s="8" t="inlineStr">
        <is>
          <t>Positive</t>
        </is>
      </c>
      <c r="F26" s="8" t="inlineStr">
        <is>
          <t>Should</t>
        </is>
      </c>
      <c r="G26" s="8" t="inlineStr">
        <is>
          <t>A Prefer-Near rule covers Guests A and B, and a Prefer-Avoid rule covers Guests C and D.</t>
        </is>
      </c>
      <c r="H26" s="8" t="inlineStr">
        <is>
          <t>1. Generate a plan.</t>
        </is>
      </c>
      <c r="I26" s="8" t="inlineStr">
        <is>
          <t>the system prefers A and B at the same table and C and D at different tables without using floor-plan distance; when an authorized manual move works against either preference without breaking a hard rule, then the move succeeds with a visible non-blocking warning.</t>
        </is>
      </c>
      <c r="J26" s="8" t="inlineStr">
        <is>
          <t>Not Run</t>
        </is>
      </c>
      <c r="K26" s="8" t="n"/>
      <c r="L26" s="8" t="n"/>
      <c r="M26" s="8" t="n"/>
    </row>
    <row r="27" ht="93.75" customHeight="1">
      <c r="A27" s="9" t="inlineStr">
        <is>
          <t>AC-026</t>
        </is>
      </c>
      <c r="B27" s="9" t="inlineStr">
        <is>
          <t>FR-3.4</t>
        </is>
      </c>
      <c r="C27" s="9" t="inlineStr">
        <is>
          <t>Relationships &amp; Seating Rules</t>
        </is>
      </c>
      <c r="D27" s="9" t="inlineStr">
        <is>
          <t>Side-Mixing levels change generation behavior; a table can override</t>
        </is>
      </c>
      <c r="E27" s="9" t="inlineStr">
        <is>
          <t>Positive</t>
        </is>
      </c>
      <c r="F27" s="9" t="inlineStr">
        <is>
          <t>Must</t>
        </is>
      </c>
      <c r="G27" s="9" t="inlineStr">
        <is>
          <t>A fixed, satisfiable test dataset contains guests from both configured sides and guests marked Both, plus a documented weighting configuration that states the expected side-mixing score calculation.</t>
        </is>
      </c>
      <c r="H27" s="9" t="inlineStr">
        <is>
          <t>1. Generate the unchanged dataset under Keep sides separate.
2. Regenerate under Balanced mix.
3. Regenerate under Fully mixed.
4. Mark one table Single-Side Only and regenerate again.</t>
        </is>
      </c>
      <c r="I27" s="9" t="inlineStr">
        <is>
          <t>each Plan Version records the selected setting and weighting version, guests marked Both are excluded from both configured-side counts, and the calculated result for each setting matches the documented calculation for that dataset; when one table is marked Single-Side Only, then an unsatisfied table-level preference appears as a soft-preference result and does not by itself cause generation to fail.</t>
        </is>
      </c>
      <c r="J27" s="9" t="inlineStr">
        <is>
          <t>Not Run</t>
        </is>
      </c>
      <c r="K27" s="9" t="n"/>
      <c r="L27" s="9" t="n"/>
      <c r="M27" s="9" t="n"/>
    </row>
    <row r="28" ht="66" customHeight="1">
      <c r="A28" s="8" t="inlineStr">
        <is>
          <t>AC-027</t>
        </is>
      </c>
      <c r="B28" s="8" t="inlineStr">
        <is>
          <t>FR-3.5</t>
        </is>
      </c>
      <c r="C28" s="8" t="inlineStr">
        <is>
          <t>Relationships &amp; Seating Rules</t>
        </is>
      </c>
      <c r="D28" s="8" t="inlineStr">
        <is>
          <t>Creating a hard rule that contradicts an existing hard rule is blocked</t>
        </is>
      </c>
      <c r="E28" s="8" t="inlineStr">
        <is>
          <t>Negative</t>
        </is>
      </c>
      <c r="F28" s="8" t="inlineStr">
        <is>
          <t>Must</t>
        </is>
      </c>
      <c r="G28" s="8" t="inlineStr">
        <is>
          <t>Guest A must sit with Guest B, and Guest B must sit with Guest C.</t>
        </is>
      </c>
      <c r="H28" s="8" t="inlineStr">
        <is>
          <t>1. Attempt to create a rule stating Guest A must not sit with Guest C.</t>
        </is>
      </c>
      <c r="I28" s="8" t="inlineStr">
        <is>
          <t>the new rule is not saved and the message identifies A, B, C, and the existing transitive rules; the same validation applies to contradictions involving Restricted Table, accessible-table, and capacity requirements.</t>
        </is>
      </c>
      <c r="J28" s="8" t="inlineStr">
        <is>
          <t>Not Run</t>
        </is>
      </c>
      <c r="K28" s="8" t="n"/>
      <c r="L28" s="8" t="n"/>
      <c r="M28" s="8" t="n"/>
    </row>
    <row r="29" ht="51.75" customHeight="1">
      <c r="A29" s="9" t="inlineStr">
        <is>
          <t>AC-028</t>
        </is>
      </c>
      <c r="B29" s="9" t="inlineStr">
        <is>
          <t>FR-3.5a</t>
        </is>
      </c>
      <c r="C29" s="9" t="inlineStr">
        <is>
          <t>Relationships &amp; Seating Rules</t>
        </is>
      </c>
      <c r="D29" s="9" t="inlineStr">
        <is>
          <t>A soft-rule contradiction is allowed but flagged</t>
        </is>
      </c>
      <c r="E29" s="9" t="inlineStr">
        <is>
          <t>Positive</t>
        </is>
      </c>
      <c r="F29" s="9" t="inlineStr">
        <is>
          <t>Should</t>
        </is>
      </c>
      <c r="G29" s="9" t="inlineStr">
        <is>
          <t>A Prefer-Near rule already covers two guests.</t>
        </is>
      </c>
      <c r="H29" s="9" t="inlineStr">
        <is>
          <t>1. Create a Prefer-Avoid rule for the same two guests.</t>
        </is>
      </c>
      <c r="I29" s="9" t="inlineStr">
        <is>
          <t>both rules remain active and a visible warning appears during creation and wherever either rule is listed until one is changed or removed.</t>
        </is>
      </c>
      <c r="J29" s="9" t="inlineStr">
        <is>
          <t>Not Run</t>
        </is>
      </c>
      <c r="K29" s="9" t="n"/>
      <c r="L29" s="9" t="n"/>
      <c r="M29" s="9" t="n"/>
    </row>
    <row r="30" ht="51.75" customHeight="1">
      <c r="A30" s="8" t="inlineStr">
        <is>
          <t>AC-029</t>
        </is>
      </c>
      <c r="B30" s="8" t="inlineStr">
        <is>
          <t>FR-3.6</t>
        </is>
      </c>
      <c r="C30" s="8" t="inlineStr">
        <is>
          <t>Relationships &amp; Seating Rules</t>
        </is>
      </c>
      <c r="D30" s="8" t="inlineStr">
        <is>
          <t>All rules are visible and manageable from one dedicated list</t>
        </is>
      </c>
      <c r="E30" s="8" t="inlineStr">
        <is>
          <t>Positive</t>
        </is>
      </c>
      <c r="F30" s="8" t="inlineStr">
        <is>
          <t>Should</t>
        </is>
      </c>
      <c r="G30" s="8" t="inlineStr">
        <is>
          <t>Rules of every supported type exist across different guests and tables.</t>
        </is>
      </c>
      <c r="H30" s="8" t="inlineStr">
        <is>
          <t>1. Sign in as a user with Edit permission.
2. Open the dedicated rules list.</t>
        </is>
      </c>
      <c r="I30" s="8" t="inlineStr">
        <is>
          <t>every rule is listed with its type and participants and can be edited or removed from that screen subject to current hard-rule validation.</t>
        </is>
      </c>
      <c r="J30" s="8" t="inlineStr">
        <is>
          <t>Not Run</t>
        </is>
      </c>
      <c r="K30" s="8" t="n"/>
      <c r="L30" s="8" t="n"/>
      <c r="M30" s="8" t="n"/>
    </row>
    <row r="31" ht="66" customHeight="1">
      <c r="A31" s="9" t="inlineStr">
        <is>
          <t>AC-030</t>
        </is>
      </c>
      <c r="B31" s="9" t="inlineStr">
        <is>
          <t>FR-3.7</t>
        </is>
      </c>
      <c r="C31" s="9" t="inlineStr">
        <is>
          <t>Relationships &amp; Seating Rules</t>
        </is>
      </c>
      <c r="D31" s="9" t="inlineStr">
        <is>
          <t>A Purpose table is a soft suggestion, not a hard cap</t>
        </is>
      </c>
      <c r="E31" s="9" t="inlineStr">
        <is>
          <t>Positive</t>
        </is>
      </c>
      <c r="F31" s="9" t="inlineStr">
        <is>
          <t>Should</t>
        </is>
      </c>
      <c r="G31" s="9" t="inlineStr">
        <is>
          <t>A table has the display label "Kids' Table" and the structured criterion Age Category = Child, and the number of Attending children exceeds that table's capacity.</t>
        </is>
      </c>
      <c r="H31" s="9" t="inlineStr">
        <is>
          <t>1. Generate a plan.</t>
        </is>
      </c>
      <c r="I31" s="9" t="inlineStr">
        <is>
          <t>the label alone has no algorithmic effect, the structured criterion favors children at the table, overflow children may be placed elsewhere, nonmatching guests may be placed there, and generation does not fail solely because the preference is unsatisfied.</t>
        </is>
      </c>
      <c r="J31" s="9" t="inlineStr">
        <is>
          <t>Not Run</t>
        </is>
      </c>
      <c r="K31" s="9" t="n"/>
      <c r="L31" s="9" t="n"/>
      <c r="M31" s="9" t="n"/>
    </row>
    <row r="32" ht="93" customHeight="1">
      <c r="A32" s="8" t="inlineStr">
        <is>
          <t>AC-031</t>
        </is>
      </c>
      <c r="B32" s="8" t="inlineStr">
        <is>
          <t>FR-3.7a</t>
        </is>
      </c>
      <c r="C32" s="8" t="inlineStr">
        <is>
          <t>Relationships &amp; Seating Rules</t>
        </is>
      </c>
      <c r="D32" s="8" t="inlineStr">
        <is>
          <t>A Restricted table only ever holds its explicitly listed guests</t>
        </is>
      </c>
      <c r="E32" s="8" t="inlineStr">
        <is>
          <t>Negative</t>
        </is>
      </c>
      <c r="F32" s="8" t="inlineStr">
        <is>
          <t>Must</t>
        </is>
      </c>
      <c r="G32" s="8" t="inlineStr">
        <is>
          <t>A Restricted Table requires Guests A and B, both Attending.</t>
        </is>
      </c>
      <c r="H32" s="8" t="inlineStr">
        <is>
          <t>1. Generate a plan.
2. Attempt to manually remove Guest A from the table.
3. Attempt to manually add an unlisted Guest C to the table.</t>
        </is>
      </c>
      <c r="I32" s="8" t="inlineStr">
        <is>
          <t>A and B are assigned there and no unlisted guest is assigned there; a manual attempt to remove A or add Guest C is blocked; a guest cannot be required at a second Restricted Table; a required list exceeding capacity or conflicting with another hard rule cannot be saved; and when B becomes Not Attending, B occupies no capacity but remains on the required list until removed by an editor.</t>
        </is>
      </c>
      <c r="J32" s="8" t="inlineStr">
        <is>
          <t>Not Run</t>
        </is>
      </c>
      <c r="K32" s="8" t="n"/>
      <c r="L32" s="8" t="n"/>
      <c r="M32" s="8" t="n"/>
    </row>
    <row r="33" ht="63" customHeight="1">
      <c r="A33" s="9" t="inlineStr">
        <is>
          <t>AC-032</t>
        </is>
      </c>
      <c r="B33" s="9" t="inlineStr">
        <is>
          <t>FR-3.8</t>
        </is>
      </c>
      <c r="C33" s="9" t="inlineStr">
        <is>
          <t>Relationships &amp; Seating Rules</t>
        </is>
      </c>
      <c r="D33" s="9" t="inlineStr">
        <is>
          <t>Accessible-seating requirement is enforced as a hard rule</t>
        </is>
      </c>
      <c r="E33" s="9" t="inlineStr">
        <is>
          <t>Negative</t>
        </is>
      </c>
      <c r="F33" s="9" t="inlineStr">
        <is>
          <t>Must</t>
        </is>
      </c>
      <c r="G33" s="9" t="inlineStr">
        <is>
          <t>Guest A has accessibility notes but Requires Accessible Table = No; Guest B has Requires Accessible Table = Yes.</t>
        </is>
      </c>
      <c r="H33" s="9" t="inlineStr">
        <is>
          <t>1. Generate a plan.</t>
        </is>
      </c>
      <c r="I33" s="9" t="inlineStr">
        <is>
          <t>the notes alone do not restrict A, B is assigned only to a table marked Accessible, and any generation, manual, import, restoration, or day-of action placing B at a non-Accessible table is blocked or handled under FR-0.1.</t>
        </is>
      </c>
      <c r="J33" s="9" t="inlineStr">
        <is>
          <t>Not Run</t>
        </is>
      </c>
      <c r="K33" s="9" t="n"/>
      <c r="L33" s="9" t="n"/>
      <c r="M33" s="9" t="n"/>
    </row>
    <row r="34" ht="66" customHeight="1">
      <c r="A34" s="8" t="inlineStr">
        <is>
          <t>AC-033</t>
        </is>
      </c>
      <c r="B34" s="8" t="inlineStr">
        <is>
          <t>FR-4.1</t>
        </is>
      </c>
      <c r="C34" s="8" t="inlineStr">
        <is>
          <t>Table &amp; Venue Layout</t>
        </is>
      </c>
      <c r="D34" s="8" t="inlineStr">
        <is>
          <t>Tables can be defined with each shape option and a capacity</t>
        </is>
      </c>
      <c r="E34" s="8" t="inlineStr">
        <is>
          <t>Positive</t>
        </is>
      </c>
      <c r="F34" s="8" t="inlineStr">
        <is>
          <t>Should</t>
        </is>
      </c>
      <c r="G34" s="8" t="inlineStr">
        <is>
          <t>A wedding has no tables.</t>
        </is>
      </c>
      <c r="H34" s="8" t="inlineStr">
        <is>
          <t>1. Create a Round, Rectangular, Square, Oval, and Other table, entering a free-text label for Other, and set a capacity for each.</t>
        </is>
      </c>
      <c r="I34" s="8" t="inlineStr">
        <is>
          <t>all values save and redisplay, and changing only a shape changes the drawing without changing generated assignments or seating-rule results.</t>
        </is>
      </c>
      <c r="J34" s="8" t="inlineStr">
        <is>
          <t>Not Run</t>
        </is>
      </c>
      <c r="K34" s="8" t="n"/>
      <c r="L34" s="8" t="n"/>
      <c r="M34" s="8" t="n"/>
    </row>
    <row r="35" ht="51.75" customHeight="1">
      <c r="A35" s="9" t="inlineStr">
        <is>
          <t>AC-034</t>
        </is>
      </c>
      <c r="B35" s="9" t="inlineStr">
        <is>
          <t>FR-4.2</t>
        </is>
      </c>
      <c r="C35" s="9" t="inlineStr">
        <is>
          <t>Table &amp; Venue Layout</t>
        </is>
      </c>
      <c r="D35" s="9" t="inlineStr">
        <is>
          <t>A standard set of tables can be created in one action</t>
        </is>
      </c>
      <c r="E35" s="9" t="inlineStr">
        <is>
          <t>Positive</t>
        </is>
      </c>
      <c r="F35" s="9" t="inlineStr">
        <is>
          <t>Should</t>
        </is>
      </c>
      <c r="G35" s="9" t="inlineStr">
        <is>
          <t>A wedding has no tables.</t>
        </is>
      </c>
      <c r="H35" s="9" t="inlineStr">
        <is>
          <t>1. Use the quick-create option to create 12 Round tables with capacity 8.</t>
        </is>
      </c>
      <c r="I35" s="9" t="inlineStr">
        <is>
          <t>exactly 12 tables are created in one confirmed action, each has shape Round and capacity 8, and each has a distinct name or number.</t>
        </is>
      </c>
      <c r="J35" s="9" t="inlineStr">
        <is>
          <t>Not Run</t>
        </is>
      </c>
      <c r="K35" s="9" t="n"/>
      <c r="L35" s="9" t="n"/>
      <c r="M35" s="9" t="n"/>
    </row>
    <row r="36" ht="66" customHeight="1">
      <c r="A36" s="8" t="inlineStr">
        <is>
          <t>AC-035</t>
        </is>
      </c>
      <c r="B36" s="8" t="inlineStr">
        <is>
          <t>FR-4.3</t>
        </is>
      </c>
      <c r="C36" s="8" t="inlineStr">
        <is>
          <t>Table &amp; Venue Layout</t>
        </is>
      </c>
      <c r="D36" s="8" t="inlineStr">
        <is>
          <t>The floor plan is fully optional</t>
        </is>
      </c>
      <c r="E36" s="8" t="inlineStr">
        <is>
          <t>Positive</t>
        </is>
      </c>
      <c r="F36" s="8" t="inlineStr">
        <is>
          <t>Should</t>
        </is>
      </c>
      <c r="G36" s="8" t="inlineStr">
        <is>
          <t>Identical guests, rules, and tables are available for two comparable runs.</t>
        </is>
      </c>
      <c r="H36" s="8" t="inlineStr">
        <is>
          <t>1. Complete a full generate-review-approve flow without opening the floor plan.
2. Position the tables on the floor plan and generate a comparison plan.</t>
        </is>
      </c>
      <c r="I36" s="8" t="inlineStr">
        <is>
          <t>both workflows remain available, table positions persist, and table positioning does not change Prefer-Near, Prefer-Avoid, relationship-tier, or generation behavior.</t>
        </is>
      </c>
      <c r="J36" s="8" t="inlineStr">
        <is>
          <t>Not Run</t>
        </is>
      </c>
      <c r="K36" s="8" t="n"/>
      <c r="L36" s="8" t="n"/>
      <c r="M36" s="8" t="n"/>
    </row>
    <row r="37" ht="66" customHeight="1">
      <c r="A37" s="9" t="inlineStr">
        <is>
          <t>AC-036</t>
        </is>
      </c>
      <c r="B37" s="9" t="inlineStr">
        <is>
          <t>FR-4.4</t>
        </is>
      </c>
      <c r="C37" s="9" t="inlineStr">
        <is>
          <t>Table &amp; Venue Layout</t>
        </is>
      </c>
      <c r="D37" s="9" t="inlineStr">
        <is>
          <t>Table capacity is enforced in both manual editing and generation</t>
        </is>
      </c>
      <c r="E37" s="9" t="inlineStr">
        <is>
          <t>Negative</t>
        </is>
      </c>
      <c r="F37" s="9" t="inlineStr">
        <is>
          <t>Must</t>
        </is>
      </c>
      <c r="G37" s="9" t="inlineStr">
        <is>
          <t>A table is at capacity, and the wedding has more Attending guests than active capacity overall.</t>
        </is>
      </c>
      <c r="H37" s="9" t="inlineStr">
        <is>
          <t>1. Attempt to manually add another guest to the full table.
2. Request generation.</t>
        </is>
      </c>
      <c r="I37" s="9" t="inlineStr">
        <is>
          <t>the manual action is blocked without changing assignments and generation produces no plan and reports the capacity shortfall rather than overfilling any table.</t>
        </is>
      </c>
      <c r="J37" s="9" t="inlineStr">
        <is>
          <t>Not Run</t>
        </is>
      </c>
      <c r="K37" s="9" t="n"/>
      <c r="L37" s="9" t="n"/>
      <c r="M37" s="9" t="n"/>
    </row>
    <row r="38" ht="66" customHeight="1">
      <c r="A38" s="8" t="inlineStr">
        <is>
          <t>AC-037</t>
        </is>
      </c>
      <c r="B38" s="8" t="inlineStr">
        <is>
          <t>FR-4.5</t>
        </is>
      </c>
      <c r="C38" s="8" t="inlineStr">
        <is>
          <t>Table &amp; Venue Layout</t>
        </is>
      </c>
      <c r="D38" s="8" t="inlineStr">
        <is>
          <t>Seats-vs-guests shortfall is shown clearly</t>
        </is>
      </c>
      <c r="E38" s="8" t="inlineStr">
        <is>
          <t>Positive</t>
        </is>
      </c>
      <c r="F38" s="8" t="inlineStr">
        <is>
          <t>Should</t>
        </is>
      </c>
      <c r="G38" s="8" t="inlineStr">
        <is>
          <t>Assigned, Unassigned, and Not Attending guests and active tables exist.</t>
        </is>
      </c>
      <c r="H38" s="8" t="inlineStr">
        <is>
          <t>1. View the wedding overview.</t>
        </is>
      </c>
      <c r="I38" s="8" t="inlineStr">
        <is>
          <t>it shows active table capacity, Attending guest count, assigned Attending count, and remaining capacity, excludes Not Attending guests, and displays the exact seat shortfall when Attending guests exceed active capacity.</t>
        </is>
      </c>
      <c r="J38" s="8" t="inlineStr">
        <is>
          <t>Not Run</t>
        </is>
      </c>
      <c r="K38" s="8" t="n"/>
      <c r="L38" s="8" t="n"/>
      <c r="M38" s="8" t="n"/>
    </row>
    <row r="39" ht="63" customHeight="1">
      <c r="A39" s="9" t="inlineStr">
        <is>
          <t>AC-038</t>
        </is>
      </c>
      <c r="B39" s="9" t="inlineStr">
        <is>
          <t>FR-4.6</t>
        </is>
      </c>
      <c r="C39" s="9" t="inlineStr">
        <is>
          <t>Table &amp; Venue Layout</t>
        </is>
      </c>
      <c r="D39" s="9" t="inlineStr">
        <is>
          <t>A table can be marked Accessible and the flag is visible</t>
        </is>
      </c>
      <c r="E39" s="9" t="inlineStr">
        <is>
          <t>Positive</t>
        </is>
      </c>
      <c r="F39" s="9" t="inlineStr">
        <is>
          <t>Should</t>
        </is>
      </c>
      <c r="G39" s="9" t="inlineStr">
        <is>
          <t>Guest A, who requires an Accessible table, is currently assigned to Table 1.</t>
        </is>
      </c>
      <c r="H39" s="9" t="inlineStr">
        <is>
          <t>1. Change Table 1's flag from Accessible to not Accessible.</t>
        </is>
      </c>
      <c r="I39" s="9" t="inlineStr">
        <is>
          <t>the table flag saves only with FR-0.1 handling, Guest A becomes Needs Reassignment, and the plan becomes incomplete until Guest A receives a valid assignment; when no assigned guest requires accessibility, the flag can be changed and redisplays correctly.</t>
        </is>
      </c>
      <c r="J39" s="9" t="inlineStr">
        <is>
          <t>Not Run</t>
        </is>
      </c>
      <c r="K39" s="9" t="n"/>
      <c r="L39" s="9" t="n"/>
      <c r="M39" s="9" t="n"/>
    </row>
    <row r="40" ht="51.75" customHeight="1">
      <c r="A40" s="8" t="inlineStr">
        <is>
          <t>AC-039</t>
        </is>
      </c>
      <c r="B40" s="8" t="inlineStr">
        <is>
          <t>FR-4.7</t>
        </is>
      </c>
      <c r="C40" s="8" t="inlineStr">
        <is>
          <t>Table &amp; Venue Layout</t>
        </is>
      </c>
      <c r="D40" s="8" t="inlineStr">
        <is>
          <t>No feature exists for assigning a specific chair/seat number</t>
        </is>
      </c>
      <c r="E40" s="8" t="inlineStr">
        <is>
          <t>Positive</t>
        </is>
      </c>
      <c r="F40" s="8" t="inlineStr">
        <is>
          <t>Should</t>
        </is>
      </c>
      <c r="G40" s="8" t="inlineStr">
        <is>
          <t>Tables have available capacities and Attending guests have assignments.</t>
        </is>
      </c>
      <c r="H40" s="8" t="inlineStr">
        <is>
          <t>1. Examine every planning, review, day-of, and export interface for a chair- or seat-numbering control.</t>
        </is>
      </c>
      <c r="I40" s="8" t="inlineStr">
        <is>
          <t>each assignment identifies only a table, no control assigns a numbered chair or position around a table, and wording such as available seat is presented as available table capacity.</t>
        </is>
      </c>
      <c r="J40" s="8" t="inlineStr">
        <is>
          <t>Not Run</t>
        </is>
      </c>
      <c r="K40" s="8" t="n"/>
      <c r="L40" s="8" t="n"/>
      <c r="M40" s="8" t="n"/>
    </row>
    <row r="41" ht="51.75" customHeight="1">
      <c r="A41" s="9" t="inlineStr">
        <is>
          <t>AC-040</t>
        </is>
      </c>
      <c r="B41" s="9" t="inlineStr">
        <is>
          <t>FR-5.1</t>
        </is>
      </c>
      <c r="C41" s="9" t="inlineStr">
        <is>
          <t>Automated Seat Assignment Engine</t>
        </is>
      </c>
      <c r="D41" s="9" t="inlineStr">
        <is>
          <t>One action produces a complete first-draft plan</t>
        </is>
      </c>
      <c r="E41" s="9" t="inlineStr">
        <is>
          <t>Positive</t>
        </is>
      </c>
      <c r="F41" s="9" t="inlineStr">
        <is>
          <t>Must</t>
        </is>
      </c>
      <c r="G41" s="9" t="inlineStr">
        <is>
          <t>A satisfiable wedding contains both Attending and Not Attending guests.</t>
        </is>
      </c>
      <c r="H41" s="9" t="inlineStr">
        <is>
          <t>1. Generate a plan.</t>
        </is>
      </c>
      <c r="I41" s="9" t="inlineStr">
        <is>
          <t>every Attending guest is assigned to exactly one table, no Not Attending guest is assigned or counted against capacity, and the result is produced by one generation request.</t>
        </is>
      </c>
      <c r="J41" s="9" t="inlineStr">
        <is>
          <t>Not Run</t>
        </is>
      </c>
      <c r="K41" s="9" t="n"/>
      <c r="L41" s="9" t="n"/>
      <c r="M41" s="9" t="n"/>
    </row>
    <row r="42" ht="66" customHeight="1">
      <c r="A42" s="8" t="inlineStr">
        <is>
          <t>AC-041</t>
        </is>
      </c>
      <c r="B42" s="8" t="inlineStr">
        <is>
          <t>FR-5.2 / 10.2</t>
        </is>
      </c>
      <c r="C42" s="8" t="inlineStr">
        <is>
          <t>Automated Seat Assignment Engine</t>
        </is>
      </c>
      <c r="D42" s="8" t="inlineStr">
        <is>
          <t>An impossible hard-rule set is reported, never silently forced</t>
        </is>
      </c>
      <c r="E42" s="8" t="inlineStr">
        <is>
          <t>Negative</t>
        </is>
      </c>
      <c r="F42" s="8" t="inlineStr">
        <is>
          <t>Must</t>
        </is>
      </c>
      <c r="G42" s="8" t="inlineStr">
        <is>
          <t>The current hard rules make a complete plan impossible (e.g., a Must-Sit-Together group larger than any table).</t>
        </is>
      </c>
      <c r="H42" s="8" t="inlineStr">
        <is>
          <t>1. Run generation.</t>
        </is>
      </c>
      <c r="I42" s="8" t="inlineStr">
        <is>
          <t>no new Plan Version or partial generated plan is saved, no hard rule is violated, and the conflict report identifies the relevant guests, tables, rules, and determinable capacity or eligibility shortage.</t>
        </is>
      </c>
      <c r="J42" s="8" t="inlineStr">
        <is>
          <t>Not Run</t>
        </is>
      </c>
      <c r="K42" s="8" t="n"/>
      <c r="L42" s="8" t="n"/>
      <c r="M42" s="8" t="n"/>
    </row>
    <row r="43" ht="63" customHeight="1">
      <c r="A43" s="9" t="inlineStr">
        <is>
          <t>AC-042</t>
        </is>
      </c>
      <c r="B43" s="9" t="inlineStr">
        <is>
          <t>FR-5.3</t>
        </is>
      </c>
      <c r="C43" s="9" t="inlineStr">
        <is>
          <t>Automated Seat Assignment Engine</t>
        </is>
      </c>
      <c r="D43" s="9" t="inlineStr">
        <is>
          <t>Generation reports how well soft preferences were satisfied</t>
        </is>
      </c>
      <c r="E43" s="9" t="inlineStr">
        <is>
          <t>Positive</t>
        </is>
      </c>
      <c r="F43" s="9" t="inlineStr">
        <is>
          <t>Should</t>
        </is>
      </c>
      <c r="G43" s="9" t="inlineStr">
        <is>
          <t>A fully satisfiable setup contains every supported soft-preference category.</t>
        </is>
      </c>
      <c r="H43" s="9" t="inlineStr">
        <is>
          <t>1. Run generation.</t>
        </is>
      </c>
      <c r="I43" s="9" t="inlineStr">
        <is>
          <t>the result identifies satisfied and unsatisfied preferences, the weighting-configuration version, and any displayed aggregate score or percentage links to or displays its calculation method, included preference types, and multi-guest counting method.</t>
        </is>
      </c>
      <c r="J43" s="9" t="inlineStr">
        <is>
          <t>Not Run</t>
        </is>
      </c>
      <c r="K43" s="9" t="n"/>
      <c r="L43" s="9" t="n"/>
      <c r="M43" s="9" t="n"/>
    </row>
    <row r="44" ht="51.75" customHeight="1">
      <c r="A44" s="8" t="inlineStr">
        <is>
          <t>AC-043</t>
        </is>
      </c>
      <c r="B44" s="8" t="inlineStr">
        <is>
          <t>FR-5.4</t>
        </is>
      </c>
      <c r="C44" s="8" t="inlineStr">
        <is>
          <t>Automated Seat Assignment Engine</t>
        </is>
      </c>
      <c r="D44" s="8" t="inlineStr">
        <is>
          <t>Generation can be re-run repeatedly</t>
        </is>
      </c>
      <c r="E44" s="8" t="inlineStr">
        <is>
          <t>Positive</t>
        </is>
      </c>
      <c r="F44" s="8" t="inlineStr">
        <is>
          <t>Should</t>
        </is>
      </c>
      <c r="G44" s="8" t="inlineStr">
        <is>
          <t>A Plan Version already exists.</t>
        </is>
      </c>
      <c r="H44" s="8" t="inlineStr">
        <is>
          <t>1. Change an input (guest, rule, or table).
2. Run generation.
3. Repeat with another change.</t>
        </is>
      </c>
      <c r="I44" s="8" t="inlineStr">
        <is>
          <t>each successful run uses the inputs current at the start of that run and creates a separately retrievable Plan Version without deleting earlier versions.</t>
        </is>
      </c>
      <c r="J44" s="8" t="inlineStr">
        <is>
          <t>Not Run</t>
        </is>
      </c>
      <c r="K44" s="8" t="n"/>
      <c r="L44" s="8" t="n"/>
      <c r="M44" s="8" t="n"/>
    </row>
    <row r="45" ht="108" customHeight="1">
      <c r="A45" s="9" t="inlineStr">
        <is>
          <t>AC-044</t>
        </is>
      </c>
      <c r="B45" s="9" t="inlineStr">
        <is>
          <t>FR-5.5 / 10.3</t>
        </is>
      </c>
      <c r="C45" s="9" t="inlineStr">
        <is>
          <t>Automated Seat Assignment Engine</t>
        </is>
      </c>
      <c r="D45" s="9" t="inlineStr">
        <is>
          <t>Locking preserves placements and avoids needless reshuffling</t>
        </is>
      </c>
      <c r="E45" s="9" t="inlineStr">
        <is>
          <t>Positive</t>
        </is>
      </c>
      <c r="F45" s="9" t="inlineStr">
        <is>
          <t>Must</t>
        </is>
      </c>
      <c r="G45" s="9" t="inlineStr">
        <is>
          <t>A Current Plan Version has one locked guest, one locked table with unused capacity, and a valid placement available for one newly added guest that requires no change to any existing unlocked assignment.</t>
        </is>
      </c>
      <c r="H45" s="9" t="inlineStr">
        <is>
          <t>1. Run regeneration.</t>
        </is>
      </c>
      <c r="I45" s="9" t="inlineStr">
        <is>
          <t>the locked guest stays at the same table, the locked table retains exactly its prior membership and unused capacity, the new guest is assigned to the valid available table, and every existing unlocked assignment remains unchanged; when later data makes a locked assignment invalid, the lock does not override FR-0.1; and when an authorized user manually moves a locked guest to a valid table, the move saves while the guest remains locked until explicitly unlocked.</t>
        </is>
      </c>
      <c r="J45" s="9" t="inlineStr">
        <is>
          <t>Not Run</t>
        </is>
      </c>
      <c r="K45" s="9" t="n"/>
      <c r="L45" s="9" t="n"/>
      <c r="M45" s="9" t="n"/>
    </row>
    <row r="46" ht="66" customHeight="1">
      <c r="A46" s="8" t="inlineStr">
        <is>
          <t>AC-045</t>
        </is>
      </c>
      <c r="B46" s="8" t="inlineStr">
        <is>
          <t>FR-5.6</t>
        </is>
      </c>
      <c r="C46" s="8" t="inlineStr">
        <is>
          <t>Automated Seat Assignment Engine</t>
        </is>
      </c>
      <c r="D46" s="8" t="inlineStr">
        <is>
          <t>Each generation run is saved as a distinct, retrievable version</t>
        </is>
      </c>
      <c r="E46" s="8" t="inlineStr">
        <is>
          <t>Positive</t>
        </is>
      </c>
      <c r="F46" s="8" t="inlineStr">
        <is>
          <t>Should</t>
        </is>
      </c>
      <c r="G46" s="8" t="inlineStr">
        <is>
          <t>A wedding is ready to generate.</t>
        </is>
      </c>
      <c r="H46" s="8" t="inlineStr">
        <is>
          <t>1. Select Make Current and run generation once.
2. Select Save as Comparison Draft and run generation a second time.</t>
        </is>
      </c>
      <c r="I46" s="8" t="inlineStr">
        <is>
          <t>two distinct Plan Versions are retrievable, the first becomes Current, the comparison draft does not replace or modify the Current Plan Version, and an unsuccessful run creates only a conflict report.</t>
        </is>
      </c>
      <c r="J46" s="8" t="inlineStr">
        <is>
          <t>Not Run</t>
        </is>
      </c>
      <c r="K46" s="8" t="n"/>
      <c r="L46" s="8" t="n"/>
      <c r="M46" s="8" t="n"/>
    </row>
    <row r="47" ht="37.5" customHeight="1">
      <c r="A47" s="9" t="inlineStr">
        <is>
          <t>AC-046</t>
        </is>
      </c>
      <c r="B47" s="9" t="inlineStr">
        <is>
          <t>FR-5.1 / NFR 9.1</t>
        </is>
      </c>
      <c r="C47" s="9" t="inlineStr">
        <is>
          <t>Automated Seat Assignment Engine</t>
        </is>
      </c>
      <c r="D47" s="9" t="inlineStr">
        <is>
          <t>Generation completes within the performance target at typical scale</t>
        </is>
      </c>
      <c r="E47" s="9" t="inlineStr">
        <is>
          <t>Performance</t>
        </is>
      </c>
      <c r="F47" s="9" t="inlineStr">
        <is>
          <t>Must</t>
        </is>
      </c>
      <c r="G47" s="9" t="inlineStr">
        <is>
          <t>300 Attending guests (no Not Attending guest counted in capacity), 40 active tables, and a satisfiable rule set.</t>
        </is>
      </c>
      <c r="H47" s="9" t="inlineStr">
        <is>
          <t>1. Submit a generation request and time it from server acceptance until the complete plan or conflict report is available.</t>
        </is>
      </c>
      <c r="I47" s="9" t="inlineStr">
        <is>
          <t>the elapsed time is under 15 seconds.</t>
        </is>
      </c>
      <c r="J47" s="9" t="inlineStr">
        <is>
          <t>Not Run</t>
        </is>
      </c>
      <c r="K47" s="9" t="n"/>
      <c r="L47" s="9" t="n"/>
      <c r="M47" s="9" t="n"/>
    </row>
    <row r="48" ht="63" customHeight="1">
      <c r="A48" s="8" t="inlineStr">
        <is>
          <t>AC-047</t>
        </is>
      </c>
      <c r="B48" s="8" t="inlineStr">
        <is>
          <t>FR-6.1</t>
        </is>
      </c>
      <c r="C48" s="8" t="inlineStr">
        <is>
          <t>Review &amp; Approval</t>
        </is>
      </c>
      <c r="D48" s="8" t="inlineStr">
        <is>
          <t>Both a visual layout and a list view are available and consistent</t>
        </is>
      </c>
      <c r="E48" s="8" t="inlineStr">
        <is>
          <t>Positive</t>
        </is>
      </c>
      <c r="F48" s="8" t="inlineStr">
        <is>
          <t>Should</t>
        </is>
      </c>
      <c r="G48" s="8" t="inlineStr">
        <is>
          <t>The Current Plan Version contains Assigned, Unassigned, Needs Reassignment, and Not Attending guests.</t>
        </is>
      </c>
      <c r="H48" s="8" t="inlineStr">
        <is>
          <t>1. Open the visual view.
2. Open the list view.</t>
        </is>
      </c>
      <c r="I48" s="8" t="inlineStr">
        <is>
          <t>both show identical valid table assignments, Unassigned and Needs Reassignment guests appear in a separate prominent area, and Not Attending guests are omitted from the plan by default but remain available in the guest list.</t>
        </is>
      </c>
      <c r="J48" s="8" t="inlineStr">
        <is>
          <t>Not Run</t>
        </is>
      </c>
      <c r="K48" s="8" t="n"/>
      <c r="L48" s="8" t="n"/>
      <c r="M48" s="8" t="n"/>
    </row>
    <row r="49" ht="66" customHeight="1">
      <c r="A49" s="9" t="inlineStr">
        <is>
          <t>AC-048</t>
        </is>
      </c>
      <c r="B49" s="9" t="inlineStr">
        <is>
          <t>FR-6.2</t>
        </is>
      </c>
      <c r="C49" s="9" t="inlineStr">
        <is>
          <t>Review &amp; Approval</t>
        </is>
      </c>
      <c r="D49" s="9" t="inlineStr">
        <is>
          <t>Sharing respects each person's permission level</t>
        </is>
      </c>
      <c r="E49" s="9" t="inlineStr">
        <is>
          <t>Positive</t>
        </is>
      </c>
      <c r="F49" s="9" t="inlineStr">
        <is>
          <t>Must</t>
        </is>
      </c>
      <c r="G49" s="9" t="inlineStr">
        <is>
          <t>View, Comment, and Edit users already have wedding access.</t>
        </is>
      </c>
      <c r="H49" s="9" t="inlineStr">
        <is>
          <t>1. Share the Current Plan Version with all three users.</t>
        </is>
      </c>
      <c r="I49" s="9" t="inlineStr">
        <is>
          <t>each receives an in-app notification and only recipients with email enabled receive email; opening either link applies current permission without granting more access, View cannot move a guest, and Edit can complete a valid move.</t>
        </is>
      </c>
      <c r="J49" s="9" t="inlineStr">
        <is>
          <t>Not Run</t>
        </is>
      </c>
      <c r="K49" s="9" t="n"/>
      <c r="L49" s="9" t="n"/>
      <c r="M49" s="9" t="n"/>
    </row>
    <row r="50" ht="51.75" customHeight="1">
      <c r="A50" s="8" t="inlineStr">
        <is>
          <t>AC-049</t>
        </is>
      </c>
      <c r="B50" s="8" t="inlineStr">
        <is>
          <t>FR-6.3</t>
        </is>
      </c>
      <c r="C50" s="8" t="inlineStr">
        <is>
          <t>Review &amp; Approval</t>
        </is>
      </c>
      <c r="D50" s="8" t="inlineStr">
        <is>
          <t>Comments can be left on a table or on a specific guest's placement</t>
        </is>
      </c>
      <c r="E50" s="8" t="inlineStr">
        <is>
          <t>Positive</t>
        </is>
      </c>
      <c r="F50" s="8" t="inlineStr">
        <is>
          <t>Should</t>
        </is>
      </c>
      <c r="G50" s="8" t="inlineStr">
        <is>
          <t>Users with View, Comment, and Edit permission are available.</t>
        </is>
      </c>
      <c r="H50" s="8" t="inlineStr">
        <is>
          <t>1. As each user in turn, attempt to comment on a table and on a specific guest's assignment.</t>
        </is>
      </c>
      <c r="I50" s="8" t="inlineStr">
        <is>
          <t>Comment and Edit users can create attributed, timestamped comments, View cannot add, reply to, edit, resolve, or delete comments, and authorized users with wedding access can view the comments.</t>
        </is>
      </c>
      <c r="J50" s="8" t="inlineStr">
        <is>
          <t>Not Run</t>
        </is>
      </c>
      <c r="K50" s="8" t="n"/>
      <c r="L50" s="8" t="n"/>
      <c r="M50" s="8" t="n"/>
    </row>
    <row r="51" ht="79.5" customHeight="1">
      <c r="A51" s="9" t="inlineStr">
        <is>
          <t>AC-050</t>
        </is>
      </c>
      <c r="B51" s="9" t="inlineStr">
        <is>
          <t>FR-6.4</t>
        </is>
      </c>
      <c r="C51" s="9" t="inlineStr">
        <is>
          <t>Review &amp; Approval</t>
        </is>
      </c>
      <c r="D51" s="9" t="inlineStr">
        <is>
          <t>Only the Planner/Owner or Couple can mark a plan Approved</t>
        </is>
      </c>
      <c r="E51" s="9" t="inlineStr">
        <is>
          <t>Negative</t>
        </is>
      </c>
      <c r="F51" s="9" t="inlineStr">
        <is>
          <t>Must</t>
        </is>
      </c>
      <c r="G51" s="9" t="inlineStr">
        <is>
          <t>The Current Plan Version is complete and in Draft status.</t>
        </is>
      </c>
      <c r="H51" s="9" t="inlineStr">
        <is>
          <t>1. As an Edit Collaborator, move it to In Review and attempt to approve it.
2. As a Couple user with View permission, attempt to approve it.
3. As a Couple user with Comment or Edit permission, approve it.</t>
        </is>
      </c>
      <c r="I51" s="9" t="inlineStr">
        <is>
          <t>In Review succeeds and approval is denied; when a Couple user with View attempts approval, it is denied; when a Couple user with Comment or Edit, or the Planner/Owner, approves it, approval succeeds; and when the version is incomplete or not Current, approval is denied.</t>
        </is>
      </c>
      <c r="J51" s="9" t="inlineStr">
        <is>
          <t>Not Run</t>
        </is>
      </c>
      <c r="K51" s="9" t="n"/>
      <c r="L51" s="9" t="n"/>
      <c r="M51" s="9" t="n"/>
    </row>
    <row r="52" ht="37.5" customHeight="1">
      <c r="A52" s="8" t="inlineStr">
        <is>
          <t>AC-051</t>
        </is>
      </c>
      <c r="B52" s="8" t="inlineStr">
        <is>
          <t>FR-6.5</t>
        </is>
      </c>
      <c r="C52" s="8" t="inlineStr">
        <is>
          <t>Review &amp; Approval</t>
        </is>
      </c>
      <c r="D52" s="8" t="inlineStr">
        <is>
          <t>Approving a plan does not prevent further edits</t>
        </is>
      </c>
      <c r="E52" s="8" t="inlineStr">
        <is>
          <t>Positive</t>
        </is>
      </c>
      <c r="F52" s="8" t="inlineStr">
        <is>
          <t>Must</t>
        </is>
      </c>
      <c r="G52" s="8" t="inlineStr">
        <is>
          <t>The Current Plan Version is Approved.</t>
        </is>
      </c>
      <c r="H52" s="8" t="inlineStr">
        <is>
          <t>1. As an authorized user, make a valid planning or day-of edit.</t>
        </is>
      </c>
      <c r="I52" s="8" t="inlineStr">
        <is>
          <t>the edit is saved and no assignment, rule, guest, or table is locked merely because of approval.</t>
        </is>
      </c>
      <c r="J52" s="8" t="inlineStr">
        <is>
          <t>Not Run</t>
        </is>
      </c>
      <c r="K52" s="8" t="n"/>
      <c r="L52" s="8" t="n"/>
      <c r="M52" s="8" t="n"/>
    </row>
    <row r="53" ht="79.5" customHeight="1">
      <c r="A53" s="9" t="inlineStr">
        <is>
          <t>AC-052</t>
        </is>
      </c>
      <c r="B53" s="9" t="inlineStr">
        <is>
          <t>FR-6.6</t>
        </is>
      </c>
      <c r="C53" s="9" t="inlineStr">
        <is>
          <t>Review &amp; Approval</t>
        </is>
      </c>
      <c r="D53" s="9" t="inlineStr">
        <is>
          <t>Editing an approved plan shows a Modified-since-approval indicator</t>
        </is>
      </c>
      <c r="E53" s="9" t="inlineStr">
        <is>
          <t>Positive</t>
        </is>
      </c>
      <c r="F53" s="9" t="inlineStr">
        <is>
          <t>Should</t>
        </is>
      </c>
      <c r="G53" s="9" t="inlineStr">
        <is>
          <t>A Plan Version is Approved.</t>
        </is>
      </c>
      <c r="H53" s="9" t="inlineStr">
        <is>
          <t>1. As an authorized user, change an assignment, an Attending guest, a hard rule, or a table.
2. Change the status to Draft or In Review.</t>
        </is>
      </c>
      <c r="I53" s="9" t="inlineStr">
        <is>
          <t>the version remains Approved, Modified Since Approval appears with the first and most recent post-approval times, and Change History identifies each editor; when an authorized user changes the status to Draft or In Review, then Approved is replaced, the active indicator is removed, and its historical record remains.</t>
        </is>
      </c>
      <c r="J53" s="9" t="inlineStr">
        <is>
          <t>Not Run</t>
        </is>
      </c>
      <c r="K53" s="9" t="n"/>
      <c r="L53" s="9" t="n"/>
      <c r="M53" s="9" t="n"/>
    </row>
    <row r="54" ht="51.75" customHeight="1">
      <c r="A54" s="8" t="inlineStr">
        <is>
          <t>AC-053</t>
        </is>
      </c>
      <c r="B54" s="8" t="inlineStr">
        <is>
          <t>FR-7.1</t>
        </is>
      </c>
      <c r="C54" s="8" t="inlineStr">
        <is>
          <t>Manual Adjustment</t>
        </is>
      </c>
      <c r="D54" s="8" t="inlineStr">
        <is>
          <t>A guest can be dragged from one table to another</t>
        </is>
      </c>
      <c r="E54" s="8" t="inlineStr">
        <is>
          <t>Positive</t>
        </is>
      </c>
      <c r="F54" s="8" t="inlineStr">
        <is>
          <t>Must</t>
        </is>
      </c>
      <c r="G54" s="8" t="inlineStr">
        <is>
          <t>An Edit user is signed in, and a target table has available capacity with no hard-rule conflict.</t>
        </is>
      </c>
      <c r="H54" s="8" t="inlineStr">
        <is>
          <t>1. Drag an Attending guest to the target table.</t>
        </is>
      </c>
      <c r="I54" s="8" t="inlineStr">
        <is>
          <t>the saved assignment appears in the visual and list views within the manual-edit responsiveness target.</t>
        </is>
      </c>
      <c r="J54" s="8" t="inlineStr">
        <is>
          <t>Not Run</t>
        </is>
      </c>
      <c r="K54" s="8" t="n"/>
      <c r="L54" s="8" t="n"/>
      <c r="M54" s="8" t="n"/>
    </row>
    <row r="55" ht="93.75" customHeight="1">
      <c r="A55" s="9" t="inlineStr">
        <is>
          <t>AC-054</t>
        </is>
      </c>
      <c r="B55" s="9" t="inlineStr">
        <is>
          <t>FR-7.2</t>
        </is>
      </c>
      <c r="C55" s="9" t="inlineStr">
        <is>
          <t>Manual Adjustment</t>
        </is>
      </c>
      <c r="D55" s="9" t="inlineStr">
        <is>
          <t>Every kind of hard-rule-breaking move is blocked outright, with no override</t>
        </is>
      </c>
      <c r="E55" s="9" t="inlineStr">
        <is>
          <t>Negative</t>
        </is>
      </c>
      <c r="F55" s="9" t="inlineStr">
        <is>
          <t>Must</t>
        </is>
      </c>
      <c r="G55" s="9" t="inlineStr">
        <is>
          <t>Separate test setups exist for capacity, Must-Sit-Together, Must-Not-Sit-Together, Restricted Table, and Requires Accessible Table constraints.</t>
        </is>
      </c>
      <c r="H55" s="9" t="inlineStr">
        <is>
          <t>1. Attempt each prohibited move in turn.</t>
        </is>
      </c>
      <c r="I55" s="9" t="inlineStr">
        <is>
          <t>the complete move is blocked, every assignment remains unchanged, no override is offered, and the explanation names the rule, affected guests, and affected tables when applicable.</t>
        </is>
      </c>
      <c r="J55" s="9" t="inlineStr">
        <is>
          <t>Not Run</t>
        </is>
      </c>
      <c r="K55" s="9" t="n"/>
      <c r="L55" s="9" t="n"/>
      <c r="M55" s="9" t="n"/>
    </row>
    <row r="56" ht="37.5" customHeight="1">
      <c r="A56" s="8" t="inlineStr">
        <is>
          <t>AC-055</t>
        </is>
      </c>
      <c r="B56" s="8" t="inlineStr">
        <is>
          <t>FR-7.3</t>
        </is>
      </c>
      <c r="C56" s="8" t="inlineStr">
        <is>
          <t>Manual Adjustment</t>
        </is>
      </c>
      <c r="D56" s="8" t="inlineStr">
        <is>
          <t>A soft-rule-breaking move is allowed with a warning</t>
        </is>
      </c>
      <c r="E56" s="8" t="inlineStr">
        <is>
          <t>Positive</t>
        </is>
      </c>
      <c r="F56" s="8" t="inlineStr">
        <is>
          <t>Should</t>
        </is>
      </c>
      <c r="G56" s="8" t="inlineStr">
        <is>
          <t>A valid manual move would work against a Prefer-Near or Prefer-Avoid rule without breaking a hard rule.</t>
        </is>
      </c>
      <c r="H56" s="8" t="inlineStr">
        <is>
          <t>1. As an Edit user, complete the move.</t>
        </is>
      </c>
      <c r="I56" s="8" t="inlineStr">
        <is>
          <t>the move is saved and a visible warning identifies the affected soft preference without presenting a blocking error.</t>
        </is>
      </c>
      <c r="J56" s="8" t="inlineStr">
        <is>
          <t>Not Run</t>
        </is>
      </c>
      <c r="K56" s="8" t="n"/>
      <c r="L56" s="8" t="n"/>
      <c r="M56" s="8" t="n"/>
    </row>
    <row r="57" ht="63" customHeight="1">
      <c r="A57" s="9" t="inlineStr">
        <is>
          <t>AC-056</t>
        </is>
      </c>
      <c r="B57" s="9" t="inlineStr">
        <is>
          <t>FR-7.4</t>
        </is>
      </c>
      <c r="C57" s="9" t="inlineStr">
        <is>
          <t>Manual Adjustment</t>
        </is>
      </c>
      <c r="D57" s="9" t="inlineStr">
        <is>
          <t>Locking protects a guest from auto-generation but not from manual edits</t>
        </is>
      </c>
      <c r="E57" s="9" t="inlineStr">
        <is>
          <t>Positive</t>
        </is>
      </c>
      <c r="F57" s="9" t="inlineStr">
        <is>
          <t>Should</t>
        </is>
      </c>
      <c r="G57" s="9" t="inlineStr">
        <is>
          <t>A guest and a table are both visibly locked.</t>
        </is>
      </c>
      <c r="H57" s="9" t="inlineStr">
        <is>
          <t>1. Run regeneration.
2. As an Edit user, manually move the locked guest or table.</t>
        </is>
      </c>
      <c r="I57" s="9" t="inlineStr">
        <is>
          <t>FR-5.5 lock behavior is applied; when an Edit user later makes a valid manual move involving the locked guest or table, then the manual move is permitted, the lock remains visible, and it remains active until explicitly removed.</t>
        </is>
      </c>
      <c r="J57" s="9" t="inlineStr">
        <is>
          <t>Not Run</t>
        </is>
      </c>
      <c r="K57" s="9" t="n"/>
      <c r="L57" s="9" t="n"/>
      <c r="M57" s="9" t="n"/>
    </row>
    <row r="58" ht="78" customHeight="1">
      <c r="A58" s="8" t="inlineStr">
        <is>
          <t>AC-057</t>
        </is>
      </c>
      <c r="B58" s="8" t="inlineStr">
        <is>
          <t>FR-7.5</t>
        </is>
      </c>
      <c r="C58" s="8" t="inlineStr">
        <is>
          <t>Manual Adjustment</t>
        </is>
      </c>
      <c r="D58" s="8" t="inlineStr">
        <is>
          <t>Manual edits support undo and redo</t>
        </is>
      </c>
      <c r="E58" s="8" t="inlineStr">
        <is>
          <t>Positive</t>
        </is>
      </c>
      <c r="F58" s="8" t="inlineStr">
        <is>
          <t>Should</t>
        </is>
      </c>
      <c r="G58" s="8" t="inlineStr">
        <is>
          <t>User A saves a manual assignment move.</t>
        </is>
      </c>
      <c r="H58" s="8" t="inlineStr">
        <is>
          <t>1. Use Undo, then Redo, in the same session with no intervening conflicting change.
2. Reload the page and check whether Undo/Redo remain available.</t>
        </is>
      </c>
      <c r="I58" s="8" t="inlineStr">
        <is>
          <t>Undo restores the prior valid assignment and Redo restores the moved assignment; when another user has since saved a conflicting change or the current rules make the reversal invalid, then Undo or Redo does not overwrite the newer state and the user is shown the current condition; after reload, session Undo and Redo are unavailable.</t>
        </is>
      </c>
      <c r="J58" s="8" t="inlineStr">
        <is>
          <t>Not Run</t>
        </is>
      </c>
      <c r="K58" s="8" t="n"/>
      <c r="L58" s="8" t="n"/>
      <c r="M58" s="8" t="n"/>
    </row>
    <row r="59" ht="48" customHeight="1">
      <c r="A59" s="9" t="inlineStr">
        <is>
          <t>AC-058</t>
        </is>
      </c>
      <c r="B59" s="9" t="inlineStr">
        <is>
          <t>FR-7.6</t>
        </is>
      </c>
      <c r="C59" s="9" t="inlineStr">
        <is>
          <t>Manual Adjustment</t>
        </is>
      </c>
      <c r="D59" s="9" t="inlineStr">
        <is>
          <t>Every manual edit is recorded with who and when</t>
        </is>
      </c>
      <c r="E59" s="9" t="inlineStr">
        <is>
          <t>Positive</t>
        </is>
      </c>
      <c r="F59" s="9" t="inlineStr">
        <is>
          <t>Should</t>
        </is>
      </c>
      <c r="G59" s="9" t="inlineStr">
        <is>
          <t>An Edit user changes an assignment.</t>
        </is>
      </c>
      <c r="H59" s="9" t="inlineStr">
        <is>
          <t>1. Save the change.</t>
        </is>
      </c>
      <c r="I59" s="9" t="inlineStr">
        <is>
          <t>one immutable Change History entry is added to the Current Plan Version with the user, timestamp, action, guests, and tables, and no new Plan Version is created solely by that manual edit.</t>
        </is>
      </c>
      <c r="J59" s="9" t="inlineStr">
        <is>
          <t>Not Run</t>
        </is>
      </c>
      <c r="K59" s="9" t="n"/>
      <c r="L59" s="9" t="n"/>
      <c r="M59" s="9" t="n"/>
    </row>
    <row r="60" ht="93.75" customHeight="1">
      <c r="A60" s="8" t="inlineStr">
        <is>
          <t>AC-059</t>
        </is>
      </c>
      <c r="B60" s="8" t="inlineStr">
        <is>
          <t>FR-7.7</t>
        </is>
      </c>
      <c r="C60" s="8" t="inlineStr">
        <is>
          <t>Manual Adjustment</t>
        </is>
      </c>
      <c r="D60" s="8" t="inlineStr">
        <is>
          <t>Concurrent edits by two users don't silently overwrite each other</t>
        </is>
      </c>
      <c r="E60" s="8" t="inlineStr">
        <is>
          <t>Negative</t>
        </is>
      </c>
      <c r="F60" s="8" t="inlineStr">
        <is>
          <t>Must</t>
        </is>
      </c>
      <c r="G60" s="8" t="inlineStr">
        <is>
          <t>Two Edit users have the same wedding open at the same time.</t>
        </is>
      </c>
      <c r="H60" s="8" t="inlineStr">
        <is>
          <t>1. As User A, save a change to a guest, rule, table, floor-plan position, comment, status, version, or assignment.
2. As User B, observe whether the change appears, then submit a conflicting change based on stale data.</t>
        </is>
      </c>
      <c r="I60" s="8" t="inlineStr">
        <is>
          <t>User B sees the saved state within five seconds without refresh; when User B submits a conflicting change based on stale data, then User A's newer state remains saved, User B's conflicting change does not overwrite it, and User B receives the refreshed state and a retry message.</t>
        </is>
      </c>
      <c r="J60" s="8" t="inlineStr">
        <is>
          <t>Not Run</t>
        </is>
      </c>
      <c r="K60" s="8" t="n"/>
      <c r="L60" s="8" t="n"/>
      <c r="M60" s="8" t="n"/>
    </row>
    <row r="61" ht="93" customHeight="1">
      <c r="A61" s="9" t="inlineStr">
        <is>
          <t>AC-060</t>
        </is>
      </c>
      <c r="B61" s="9" t="inlineStr">
        <is>
          <t>FR-8.1</t>
        </is>
      </c>
      <c r="C61" s="9" t="inlineStr">
        <is>
          <t>Day-Of / Emergency Mode</t>
        </is>
      </c>
      <c r="D61" s="9" t="inlineStr">
        <is>
          <t>Marking a guest Not Attending frees their seat without a full regeneration</t>
        </is>
      </c>
      <c r="E61" s="9" t="inlineStr">
        <is>
          <t>Positive</t>
        </is>
      </c>
      <c r="F61" s="9" t="inlineStr">
        <is>
          <t>Must</t>
        </is>
      </c>
      <c r="G61" s="9" t="inlineStr">
        <is>
          <t>An Attending guest is seated and referenced by rules and comments.</t>
        </is>
      </c>
      <c r="H61" s="9" t="inlineStr">
        <is>
          <t>1. Change the guest's Attendance Status to Not Attending.</t>
        </is>
      </c>
      <c r="I61" s="9" t="inlineStr">
        <is>
          <t>the guest is removed from the Current Plan Version, table capacity becomes available, no full regeneration starts, completeness and event-ready exports exclude the guest, rules and comments remain stored, and affected Attending guests are rechecked; when the guest returns to Attending, then the guest is Unassigned unless an editor explicitly restores a valid assignment.</t>
        </is>
      </c>
      <c r="J61" s="9" t="inlineStr">
        <is>
          <t>Not Run</t>
        </is>
      </c>
      <c r="K61" s="9" t="n"/>
      <c r="L61" s="9" t="n"/>
      <c r="M61" s="9" t="n"/>
    </row>
    <row r="62" ht="66" customHeight="1">
      <c r="A62" s="8" t="inlineStr">
        <is>
          <t>AC-061</t>
        </is>
      </c>
      <c r="B62" s="8" t="inlineStr">
        <is>
          <t>FR-8.2</t>
        </is>
      </c>
      <c r="C62" s="8" t="inlineStr">
        <is>
          <t>Day-Of / Emergency Mode</t>
        </is>
      </c>
      <c r="D62" s="8" t="inlineStr">
        <is>
          <t>A walk-in guest can be added and seated without a full regeneration</t>
        </is>
      </c>
      <c r="E62" s="8" t="inlineStr">
        <is>
          <t>Positive</t>
        </is>
      </c>
      <c r="F62" s="8" t="inlineStr">
        <is>
          <t>Must</t>
        </is>
      </c>
      <c r="G62" s="8" t="inlineStr">
        <is>
          <t>Day-Of Mode is open, and a table has available capacity.</t>
        </is>
      </c>
      <c r="H62" s="8" t="inlineStr">
        <is>
          <t>1. Add a walk-in guest as Attending and assign a table.</t>
        </is>
      </c>
      <c r="I62" s="8" t="inlineStr">
        <is>
          <t>eligible tables are identified and a valid assignment saves without full regeneration; when a table is ineligible because of a hard rule, then the table is identified as ineligible with the reason and the prohibited assignment is blocked.</t>
        </is>
      </c>
      <c r="J62" s="8" t="inlineStr">
        <is>
          <t>Not Run</t>
        </is>
      </c>
      <c r="K62" s="8" t="n"/>
      <c r="L62" s="8" t="n"/>
      <c r="M62" s="8" t="n"/>
    </row>
    <row r="63" ht="66" customHeight="1">
      <c r="A63" s="9" t="inlineStr">
        <is>
          <t>AC-062</t>
        </is>
      </c>
      <c r="B63" s="9" t="inlineStr">
        <is>
          <t>FR-8.3</t>
        </is>
      </c>
      <c r="C63" s="9" t="inlineStr">
        <is>
          <t>Day-Of / Emergency Mode</t>
        </is>
      </c>
      <c r="D63" s="9" t="inlineStr">
        <is>
          <t>Two guests' seats can be swapped in one action</t>
        </is>
      </c>
      <c r="E63" s="9" t="inlineStr">
        <is>
          <t>Positive</t>
        </is>
      </c>
      <c r="F63" s="9" t="inlineStr">
        <is>
          <t>Must</t>
        </is>
      </c>
      <c r="G63" s="9" t="inlineStr">
        <is>
          <t>Two Attending guests have table assignments.</t>
        </is>
      </c>
      <c r="H63" s="9" t="inlineStr">
        <is>
          <t>1. Submit a swap between the two guests.</t>
        </is>
      </c>
      <c r="I63" s="9" t="inlineStr">
        <is>
          <t>both assignments change as one operation; when either resulting assignment would violate a hard rule, then neither assignment changes and the explanation identifies the conflict.</t>
        </is>
      </c>
      <c r="J63" s="9" t="inlineStr">
        <is>
          <t>Not Run</t>
        </is>
      </c>
      <c r="K63" s="9" t="n"/>
      <c r="L63" s="9" t="n"/>
      <c r="M63" s="9" t="n"/>
    </row>
    <row r="64" ht="66" customHeight="1">
      <c r="A64" s="8" t="inlineStr">
        <is>
          <t>AC-063</t>
        </is>
      </c>
      <c r="B64" s="8" t="inlineStr">
        <is>
          <t>FR-8.4</t>
        </is>
      </c>
      <c r="C64" s="8" t="inlineStr">
        <is>
          <t>Day-Of / Emergency Mode</t>
        </is>
      </c>
      <c r="D64" s="8" t="inlineStr">
        <is>
          <t>Day-of mode is usable and meets touch-target size on a phone</t>
        </is>
      </c>
      <c r="E64" s="8" t="inlineStr">
        <is>
          <t>Accessibility</t>
        </is>
      </c>
      <c r="F64" s="8" t="inlineStr">
        <is>
          <t>Should</t>
        </is>
      </c>
      <c r="G64" s="8" t="inlineStr">
        <is>
          <t>Day-Of Mode is opened in portrait orientation at a supported phone width.</t>
        </is>
      </c>
      <c r="H64" s="8" t="inlineStr">
        <is>
          <t>1. As a first-time user, search for a guest, review table occupancy, mark a guest Not Attending, add a walk-in, and initiate a swap.</t>
        </is>
      </c>
      <c r="I64" s="8" t="inlineStr">
        <is>
          <t>each task is available in the Day-Of interface, every interactive target measures at least 44 by 44 CSS pixels, and no required control is hidden outside the usable viewport.</t>
        </is>
      </c>
      <c r="J64" s="8" t="inlineStr">
        <is>
          <t>Not Run</t>
        </is>
      </c>
      <c r="K64" s="8" t="n"/>
      <c r="L64" s="8" t="n"/>
      <c r="M64" s="8" t="n"/>
    </row>
    <row r="65" ht="51.75" customHeight="1">
      <c r="A65" s="9" t="inlineStr">
        <is>
          <t>AC-064</t>
        </is>
      </c>
      <c r="B65" s="9" t="inlineStr">
        <is>
          <t>FR-8.5</t>
        </is>
      </c>
      <c r="C65" s="9" t="inlineStr">
        <is>
          <t>Day-Of / Emergency Mode</t>
        </is>
      </c>
      <c r="D65" s="9" t="inlineStr">
        <is>
          <t>Day-of changes appear in the same history as any other edit</t>
        </is>
      </c>
      <c r="E65" s="9" t="inlineStr">
        <is>
          <t>Positive</t>
        </is>
      </c>
      <c r="F65" s="9" t="inlineStr">
        <is>
          <t>Should</t>
        </is>
      </c>
      <c r="G65" s="9" t="inlineStr">
        <is>
          <t>Day-Of Mode was used to mark a guest Not Attending, add a walk-in, and complete a swap.</t>
        </is>
      </c>
      <c r="H65" s="9" t="inlineStr">
        <is>
          <t>1. View Change History.</t>
        </is>
      </c>
      <c r="I65" s="9" t="inlineStr">
        <is>
          <t>each saved action appears in the Current Plan Version with the correct user, timestamp, action, and affected guests or tables.</t>
        </is>
      </c>
      <c r="J65" s="9" t="inlineStr">
        <is>
          <t>Not Run</t>
        </is>
      </c>
      <c r="K65" s="9" t="n"/>
      <c r="L65" s="9" t="n"/>
      <c r="M65" s="9" t="n"/>
    </row>
    <row r="66" ht="78" customHeight="1">
      <c r="A66" s="8" t="inlineStr">
        <is>
          <t>AC-065</t>
        </is>
      </c>
      <c r="B66" s="8" t="inlineStr">
        <is>
          <t>FR-9.1</t>
        </is>
      </c>
      <c r="C66" s="8" t="inlineStr">
        <is>
          <t>Export &amp; Print</t>
        </is>
      </c>
      <c r="D66" s="8" t="inlineStr">
        <is>
          <t>Full seating chart exports as a PDF</t>
        </is>
      </c>
      <c r="E66" s="8" t="inlineStr">
        <is>
          <t>Positive</t>
        </is>
      </c>
      <c r="F66" s="8" t="inlineStr">
        <is>
          <t>Must</t>
        </is>
      </c>
      <c r="G66" s="8" t="inlineStr">
        <is>
          <t>An approved plan exists.</t>
        </is>
      </c>
      <c r="H66" s="8" t="inlineStr">
        <is>
          <t>1. Export the full seating chart.</t>
        </is>
      </c>
      <c r="I66" s="8" t="inlineStr">
        <is>
          <t>A PDF is produced showing every table with its guests' names.</t>
        </is>
      </c>
      <c r="J66" s="8" t="inlineStr">
        <is>
          <t>Not Run</t>
        </is>
      </c>
      <c r="K66" s="8" t="n"/>
      <c r="L66" s="8" t="n"/>
      <c r="M66" s="8" t="n"/>
    </row>
    <row r="67" ht="48" customHeight="1">
      <c r="A67" s="9" t="inlineStr">
        <is>
          <t>AC-066</t>
        </is>
      </c>
      <c r="B67" s="9" t="inlineStr">
        <is>
          <t>FR-9.2</t>
        </is>
      </c>
      <c r="C67" s="9" t="inlineStr">
        <is>
          <t>Export &amp; Print</t>
        </is>
      </c>
      <c r="D67" s="9" t="inlineStr">
        <is>
          <t>Alphabetical guest-to-table lookup exports as a PDF</t>
        </is>
      </c>
      <c r="E67" s="9" t="inlineStr">
        <is>
          <t>Positive</t>
        </is>
      </c>
      <c r="F67" s="9" t="inlineStr">
        <is>
          <t>Must</t>
        </is>
      </c>
      <c r="G67" s="9" t="inlineStr">
        <is>
          <t>An approved plan exists.</t>
        </is>
      </c>
      <c r="H67" s="9" t="inlineStr">
        <is>
          <t>1. Export the alphabetical lookup list.</t>
        </is>
      </c>
      <c r="I67" s="9" t="inlineStr">
        <is>
          <t>A PDF lists every guest alphabetically with their assigned table.</t>
        </is>
      </c>
      <c r="J67" s="9" t="inlineStr">
        <is>
          <t>Not Run</t>
        </is>
      </c>
      <c r="K67" s="9" t="n"/>
      <c r="L67" s="9" t="n"/>
      <c r="M67" s="9" t="n"/>
    </row>
    <row r="68" ht="63" customHeight="1">
      <c r="A68" s="8" t="inlineStr">
        <is>
          <t>AC-067</t>
        </is>
      </c>
      <c r="B68" s="8" t="inlineStr">
        <is>
          <t>FR-9.3</t>
        </is>
      </c>
      <c r="C68" s="8" t="inlineStr">
        <is>
          <t>Export &amp; Print</t>
        </is>
      </c>
      <c r="D68" s="8" t="inlineStr">
        <is>
          <t>Place/escort cards export in a print-ready layout</t>
        </is>
      </c>
      <c r="E68" s="8" t="inlineStr">
        <is>
          <t>Positive</t>
        </is>
      </c>
      <c r="F68" s="8" t="inlineStr">
        <is>
          <t>Should</t>
        </is>
      </c>
      <c r="G68" s="8" t="inlineStr">
        <is>
          <t>An approved plan exists.</t>
        </is>
      </c>
      <c r="H68" s="8" t="inlineStr">
        <is>
          <t>1. Export place cards.</t>
        </is>
      </c>
      <c r="I68" s="8" t="inlineStr">
        <is>
          <t>One print-ready card per guest is produced, each showing the guest's name and table.</t>
        </is>
      </c>
      <c r="J68" s="8" t="inlineStr">
        <is>
          <t>Not Run</t>
        </is>
      </c>
      <c r="K68" s="8" t="n"/>
      <c r="L68" s="8" t="n"/>
      <c r="M68" s="8" t="n"/>
    </row>
    <row r="69" ht="78" customHeight="1">
      <c r="A69" s="9" t="inlineStr">
        <is>
          <t>AC-068</t>
        </is>
      </c>
      <c r="B69" s="9" t="inlineStr">
        <is>
          <t>FR-9.4</t>
        </is>
      </c>
      <c r="C69" s="9" t="inlineStr">
        <is>
          <t>Export &amp; Print</t>
        </is>
      </c>
      <c r="D69" s="9" t="inlineStr">
        <is>
          <t>Restoring a prior version is non-destructive</t>
        </is>
      </c>
      <c r="E69" s="9" t="inlineStr">
        <is>
          <t>Positive</t>
        </is>
      </c>
      <c r="F69" s="9" t="inlineStr">
        <is>
          <t>Must</t>
        </is>
      </c>
      <c r="G69" s="9" t="inlineStr">
        <is>
          <t>Plan Versions v1 through v5 exist, and v2 contains recorded assignments.</t>
        </is>
      </c>
      <c r="H69" s="9" t="inlineStr">
        <is>
          <t>1. As an authorized user, choose to restore v2 and confirm.</t>
        </is>
      </c>
      <c r="I69" s="9" t="inlineStr">
        <is>
          <t>a new Plan Version v6 is created from v2’s recorded assignments, the assignments are validated against current active guests, rules, and tables, v3 through v5 and all historical Change History entries remain unchanged, v6 records v2 as its source, and v6 becomes Current; any currently invalid restored assignment is handled under FR-0.1.</t>
        </is>
      </c>
      <c r="J69" s="9" t="inlineStr">
        <is>
          <t>Not Run</t>
        </is>
      </c>
      <c r="K69" s="9" t="n"/>
      <c r="L69" s="9" t="n"/>
      <c r="M69" s="9" t="n"/>
    </row>
    <row r="70" ht="63" customHeight="1">
      <c r="A70" s="8" t="inlineStr">
        <is>
          <t>AC-069</t>
        </is>
      </c>
      <c r="B70" s="8" t="inlineStr">
        <is>
          <t>FR-10.1</t>
        </is>
      </c>
      <c r="C70" s="8" t="inlineStr">
        <is>
          <t>Collaboration &amp; Notifications</t>
        </is>
      </c>
      <c r="D70" s="8" t="inlineStr">
        <is>
          <t>An activity log shows recent changes to anyone with access</t>
        </is>
      </c>
      <c r="E70" s="8" t="inlineStr">
        <is>
          <t>Positive</t>
        </is>
      </c>
      <c r="F70" s="8" t="inlineStr">
        <is>
          <t>Should</t>
        </is>
      </c>
      <c r="G70" s="8" t="inlineStr">
        <is>
          <t>Authorized users have made changes at different recorded times, and an item or collaborator referenced by an older entry has since been removed.</t>
        </is>
      </c>
      <c r="H70" s="8" t="inlineStr">
        <is>
          <t>1. View the activity log.</t>
        </is>
      </c>
      <c r="I70" s="8" t="inlineStr">
        <is>
          <t>each visible entry identifies the action, affected item, user, and timestamp, entries are ordered from newest to oldest, removed targets remain understandable and marked Historical, and each viewer sees only activity the viewer is authorized to access.</t>
        </is>
      </c>
      <c r="J70" s="8" t="inlineStr">
        <is>
          <t>Not Run</t>
        </is>
      </c>
      <c r="K70" s="8" t="n"/>
      <c r="L70" s="8" t="n"/>
      <c r="M70" s="8" t="n"/>
    </row>
    <row r="71" ht="93.75" customHeight="1">
      <c r="A71" s="9" t="inlineStr">
        <is>
          <t>AC-070</t>
        </is>
      </c>
      <c r="B71" s="9" t="inlineStr">
        <is>
          <t>FR-10.2</t>
        </is>
      </c>
      <c r="C71" s="9" t="inlineStr">
        <is>
          <t>Collaboration &amp; Notifications</t>
        </is>
      </c>
      <c r="D71" s="9" t="inlineStr">
        <is>
          <t>Defined notification triggers fire correctly</t>
        </is>
      </c>
      <c r="E71" s="9" t="inlineStr">
        <is>
          <t>Positive</t>
        </is>
      </c>
      <c r="F71" s="9" t="inlineStr">
        <is>
          <t>Should</t>
        </is>
      </c>
      <c r="G71" s="9" t="inlineStr">
        <is>
          <t>Relevant collaborators exist.</t>
        </is>
      </c>
      <c r="H71" s="9" t="inlineStr">
        <is>
          <t>1. Share a plan for review.
2. Reply to a collaborator's comment.
3. After approval, change a guest's table, add or remove a guest, or change Attendance Status or plan status.</t>
        </is>
      </c>
      <c r="I71" s="9" t="inlineStr">
        <is>
          <t>the relevant recipient receives an in-app notification; when the recipient has email enabled for that wedding, an email is also attempted; when email is disabled or delivery fails, the in-app notification and underlying action remain unaffected.</t>
        </is>
      </c>
      <c r="J71" s="9" t="inlineStr">
        <is>
          <t>Not Run</t>
        </is>
      </c>
      <c r="K71" s="9" t="n"/>
      <c r="L71" s="9" t="n"/>
      <c r="M71" s="9" t="n"/>
    </row>
    <row r="72" ht="93.75" customHeight="1">
      <c r="A72" s="8" t="inlineStr">
        <is>
          <t>AC-071</t>
        </is>
      </c>
      <c r="B72" s="8" t="inlineStr">
        <is>
          <t>FR-10.3</t>
        </is>
      </c>
      <c r="C72" s="8" t="inlineStr">
        <is>
          <t>Collaboration &amp; Notifications</t>
        </is>
      </c>
      <c r="D72" s="8" t="inlineStr">
        <is>
          <t>Comment resolution is permission-gated and attributed</t>
        </is>
      </c>
      <c r="E72" s="8" t="inlineStr">
        <is>
          <t>Negative</t>
        </is>
      </c>
      <c r="F72" s="8" t="inlineStr">
        <is>
          <t>Should</t>
        </is>
      </c>
      <c r="G72" s="8" t="inlineStr">
        <is>
          <t>Three comments exist.</t>
        </is>
      </c>
      <c r="H72" s="8" t="inlineStr">
        <is>
          <t>1. As the original commenter, resolve the first comment.
2. As a different Edit user, resolve the second comment.
3. As a View user, attempt to resolve the third comment.</t>
        </is>
      </c>
      <c r="I72" s="8" t="inlineStr">
        <is>
          <t>the first two become Resolved with resolver and timestamp and the third remains unresolved; when a referenced guest, table, or assignment later changes or is removed, then the comment remains attached to its historical target and is not silently reassigned.</t>
        </is>
      </c>
      <c r="J72" s="8" t="inlineStr">
        <is>
          <t>Not Run</t>
        </is>
      </c>
      <c r="K72" s="8" t="n"/>
      <c r="L72" s="8" t="n"/>
      <c r="M72" s="8" t="n"/>
    </row>
    <row r="73" ht="37.5" customHeight="1">
      <c r="A73" s="9" t="inlineStr">
        <is>
          <t>AC-072</t>
        </is>
      </c>
      <c r="B73" s="9" t="inlineStr">
        <is>
          <t>NFR 9.1</t>
        </is>
      </c>
      <c r="C73" s="9" t="inlineStr">
        <is>
          <t>Non-Functional: Performance</t>
        </is>
      </c>
      <c r="D73" s="9" t="inlineStr">
        <is>
          <t>Generation stays within target at the upper bound of scale</t>
        </is>
      </c>
      <c r="E73" s="9" t="inlineStr">
        <is>
          <t>Performance</t>
        </is>
      </c>
      <c r="F73" s="9" t="inlineStr">
        <is>
          <t>Should</t>
        </is>
      </c>
      <c r="G73" s="9" t="inlineStr">
        <is>
          <t>500 Attending guests, active tables with sufficient capacity, and a satisfiable rule set.</t>
        </is>
      </c>
      <c r="H73" s="9" t="inlineStr">
        <is>
          <t>1. Submit a generation request and time it from server acceptance until the complete plan or conflict report is available.</t>
        </is>
      </c>
      <c r="I73" s="9" t="inlineStr">
        <is>
          <t>the elapsed time is under 60 seconds.</t>
        </is>
      </c>
      <c r="J73" s="9" t="inlineStr">
        <is>
          <t>Not Run</t>
        </is>
      </c>
      <c r="K73" s="9" t="n"/>
      <c r="L73" s="9" t="n"/>
      <c r="M73" s="9" t="n"/>
    </row>
    <row r="74" ht="66" customHeight="1">
      <c r="A74" s="8" t="inlineStr">
        <is>
          <t>AC-073</t>
        </is>
      </c>
      <c r="B74" s="8" t="inlineStr">
        <is>
          <t>NFR 9.1</t>
        </is>
      </c>
      <c r="C74" s="8" t="inlineStr">
        <is>
          <t>Non-Functional: Performance</t>
        </is>
      </c>
      <c r="D74" s="8" t="inlineStr">
        <is>
          <t>Manual edits respond in under a second</t>
        </is>
      </c>
      <c r="E74" s="8" t="inlineStr">
        <is>
          <t>Performance</t>
        </is>
      </c>
      <c r="F74" s="8" t="inlineStr">
        <is>
          <t>Must</t>
        </is>
      </c>
      <c r="G74" s="8" t="inlineStr">
        <is>
          <t>A device, browser, network conditions, and measurement method from the release test plan, with a plan open for editing.</t>
        </is>
      </c>
      <c r="H74" s="8" t="inlineStr">
        <is>
          <t>1. Submit a manual assignment or rule action and time the response.</t>
        </is>
      </c>
      <c r="I74" s="8" t="inlineStr">
        <is>
          <t>the elapsed time from submission until the saved result or blocking hard-rule response is visible is under one second; cross-user visibility is measured separately under FR-7.7.</t>
        </is>
      </c>
      <c r="J74" s="8" t="inlineStr">
        <is>
          <t>Not Run</t>
        </is>
      </c>
      <c r="K74" s="8" t="n"/>
      <c r="L74" s="8" t="n"/>
      <c r="M74" s="8" t="n"/>
    </row>
    <row r="75" ht="66" customHeight="1">
      <c r="A75" s="9" t="inlineStr">
        <is>
          <t>AC-074</t>
        </is>
      </c>
      <c r="B75" s="9" t="inlineStr">
        <is>
          <t>NFR 9.2</t>
        </is>
      </c>
      <c r="C75" s="9" t="inlineStr">
        <is>
          <t>Non-Functional: Usability</t>
        </is>
      </c>
      <c r="D75" s="9" t="inlineStr">
        <is>
          <t>A person unfamiliar with the app can use review and day-of mode unaided</t>
        </is>
      </c>
      <c r="E75" s="9" t="inlineStr">
        <is>
          <t>Positive</t>
        </is>
      </c>
      <c r="F75" s="9" t="inlineStr">
        <is>
          <t>Must</t>
        </is>
      </c>
      <c r="G75" s="9" t="inlineStr">
        <is>
          <t>A first-time participant with no Seatwise training is given the review or Day-Of interface in its initial state.</t>
        </is>
      </c>
      <c r="H75" s="9" t="inlineStr">
        <is>
          <t>1. Ask the participant to locate a named guest, identify the guest's table or assignment issue, explain a blocked action in their own words, and complete one authorized review or day-of change.</t>
        </is>
      </c>
      <c r="I75" s="9" t="inlineStr">
        <is>
          <t>each task is completed without assistance and the participant's explanation identifies the relevant rule and affected guest or table.</t>
        </is>
      </c>
      <c r="J75" s="9" t="inlineStr">
        <is>
          <t>Not Run</t>
        </is>
      </c>
      <c r="K75" s="9" t="n"/>
      <c r="L75" s="9" t="n"/>
      <c r="M75" s="9" t="n"/>
    </row>
    <row r="76" ht="66" customHeight="1">
      <c r="A76" s="8" t="inlineStr">
        <is>
          <t>AC-075</t>
        </is>
      </c>
      <c r="B76" s="8" t="inlineStr">
        <is>
          <t>NFR 9.2</t>
        </is>
      </c>
      <c r="C76" s="8" t="inlineStr">
        <is>
          <t>Non-Functional: Usability</t>
        </is>
      </c>
      <c r="D76" s="8" t="inlineStr">
        <is>
          <t>Every blocked action names the specific rule and guests, never a generic error</t>
        </is>
      </c>
      <c r="E76" s="8" t="inlineStr">
        <is>
          <t>Negative</t>
        </is>
      </c>
      <c r="F76" s="8" t="inlineStr">
        <is>
          <t>Must</t>
        </is>
      </c>
      <c r="G76" s="8" t="inlineStr">
        <is>
          <t>Separate blocked-action scenarios exist for capacity, Must-Sit-Together, Must-Not-Sit-Together, Restricted Table, and Requires Accessible Table.</t>
        </is>
      </c>
      <c r="H76" s="8" t="inlineStr">
        <is>
          <t>1. Trigger each blocked action in turn.</t>
        </is>
      </c>
      <c r="I76" s="8" t="inlineStr">
        <is>
          <t>each message identifies the attempted change, rule type, affected guests, and affected tables when applicable, and no message relies on generic text as its only explanation.</t>
        </is>
      </c>
      <c r="J76" s="8" t="inlineStr">
        <is>
          <t>Not Run</t>
        </is>
      </c>
      <c r="K76" s="8" t="n"/>
      <c r="L76" s="8" t="n"/>
      <c r="M76" s="8" t="n"/>
    </row>
    <row r="77" ht="51.75" customHeight="1">
      <c r="A77" s="9" t="inlineStr">
        <is>
          <t>AC-076</t>
        </is>
      </c>
      <c r="B77" s="9" t="inlineStr">
        <is>
          <t>NFR 9.3</t>
        </is>
      </c>
      <c r="C77" s="9" t="inlineStr">
        <is>
          <t>Non-Functional: Security &amp; Multi-Tenancy</t>
        </is>
      </c>
      <c r="D77" s="9" t="inlineStr">
        <is>
          <t>A user with no access cannot reach another wedding's data directly</t>
        </is>
      </c>
      <c r="E77" s="9" t="inlineStr">
        <is>
          <t>Security</t>
        </is>
      </c>
      <c r="F77" s="9" t="inlineStr">
        <is>
          <t>Must</t>
        </is>
      </c>
      <c r="G77" s="9" t="inlineStr">
        <is>
          <t>A user has no current access to Wedding X.</t>
        </is>
      </c>
      <c r="H77" s="9" t="inlineStr">
        <is>
          <t>1. Attempt server-side reads, writes, exports, invitation actions, notification-target requests, and file requests for Wedding X by direct URL or identifier.</t>
        </is>
      </c>
      <c r="I77" s="9" t="inlineStr">
        <is>
          <t>each request is denied and returns no Wedding X data.</t>
        </is>
      </c>
      <c r="J77" s="9" t="inlineStr">
        <is>
          <t>Not Run</t>
        </is>
      </c>
      <c r="K77" s="9" t="n"/>
      <c r="L77" s="9" t="n"/>
      <c r="M77" s="9" t="n"/>
    </row>
    <row r="78" ht="79.5" customHeight="1">
      <c r="A78" s="8" t="inlineStr">
        <is>
          <t>AC-077</t>
        </is>
      </c>
      <c r="B78" s="8" t="inlineStr">
        <is>
          <t>NFR 9.3</t>
        </is>
      </c>
      <c r="C78" s="8" t="inlineStr">
        <is>
          <t>Non-Functional: Security &amp; Multi-Tenancy</t>
        </is>
      </c>
      <c r="D78" s="8" t="inlineStr">
        <is>
          <t>Guest personal data is protected in transit and at rest</t>
        </is>
      </c>
      <c r="E78" s="8" t="inlineStr">
        <is>
          <t>Security</t>
        </is>
      </c>
      <c r="F78" s="8" t="inlineStr">
        <is>
          <t>Must</t>
        </is>
      </c>
      <c r="G78" s="8" t="inlineStr">
        <is>
          <t>A wedding contains guest names, dietary notes, and accessibility information.</t>
        </is>
      </c>
      <c r="H78" s="8" t="inlineStr">
        <is>
          <t>1. Have approved security verification inspect network transport and stored application data.</t>
        </is>
      </c>
      <c r="I78" s="8" t="inlineStr">
        <is>
          <t>those fields are encrypted in transit and at rest, read and export access follows Section 7 permissions, and retention and permanent deletion follow the documented production retention policy.</t>
        </is>
      </c>
      <c r="J78" s="8" t="inlineStr">
        <is>
          <t>Not Run</t>
        </is>
      </c>
      <c r="K78" s="8" t="n"/>
      <c r="L78" s="8" t="n"/>
      <c r="M78" s="8" t="n"/>
    </row>
    <row r="79" ht="66" customHeight="1">
      <c r="A79" s="9" t="inlineStr">
        <is>
          <t>AC-078</t>
        </is>
      </c>
      <c r="B79" s="9" t="inlineStr">
        <is>
          <t>NFR 9.4</t>
        </is>
      </c>
      <c r="C79" s="9" t="inlineStr">
        <is>
          <t>Non-Functional: Availability</t>
        </is>
      </c>
      <c r="D79" s="9" t="inlineStr">
        <is>
          <t>Printed materials remain usable with no connectivity</t>
        </is>
      </c>
      <c r="E79" s="9" t="inlineStr">
        <is>
          <t>Positive</t>
        </is>
      </c>
      <c r="F79" s="9" t="inlineStr">
        <is>
          <t>Should</t>
        </is>
      </c>
      <c r="G79" s="9" t="inlineStr">
        <is>
          <t>An event-ready chart and lookup list were downloaded or printed from a complete plan.</t>
        </is>
      </c>
      <c r="H79" s="9" t="inlineStr">
        <is>
          <t>1. Disconnect the device from the internet.
2. Use the files or paper copies to look up guests.</t>
        </is>
      </c>
      <c r="I79" s="9" t="inlineStr">
        <is>
          <t>the listed guest-to-table information remains readable and no online request is required to use the downloaded or printed output; version 1 provides no offline editing requirement.</t>
        </is>
      </c>
      <c r="J79" s="9" t="inlineStr">
        <is>
          <t>Not Run</t>
        </is>
      </c>
      <c r="K79" s="9" t="n"/>
      <c r="L79" s="9" t="n"/>
      <c r="M79" s="9" t="n"/>
    </row>
    <row r="80" ht="66" customHeight="1">
      <c r="A80" s="8" t="inlineStr">
        <is>
          <t>AC-079</t>
        </is>
      </c>
      <c r="B80" s="8" t="inlineStr">
        <is>
          <t>NFR 9.5</t>
        </is>
      </c>
      <c r="C80" s="8" t="inlineStr">
        <is>
          <t>Non-Functional: Accessibility &amp; Devices</t>
        </is>
      </c>
      <c r="D80" s="8" t="inlineStr">
        <is>
          <t>The app conforms to WCAG 2.1 Level AA</t>
        </is>
      </c>
      <c r="E80" s="8" t="inlineStr">
        <is>
          <t>Accessibility</t>
        </is>
      </c>
      <c r="F80" s="8" t="inlineStr">
        <is>
          <t>Should</t>
        </is>
      </c>
      <c r="G80" s="8" t="inlineStr">
        <is>
          <t>The release test plan identifies every in-scope interface, supported browser, screen reader, and automated accessibility tool, including the review view and Day-Of Mode.</t>
        </is>
      </c>
      <c r="H80" s="8" t="inlineStr">
        <is>
          <t>1. Run WCAG 2.1 Level AA testing covering automated rules, keyboard-only operation, focus order and visibility, accessible names and roles, screen-reader output, contrast, reflow, and 44×44 CSS-pixel Day-Of targets.</t>
        </is>
      </c>
      <c r="I80" s="8" t="inlineStr">
        <is>
          <t>every applicable Level A and Level AA success criterion passes; any failure causes this acceptance criterion to fail.</t>
        </is>
      </c>
      <c r="J80" s="8" t="inlineStr">
        <is>
          <t>Not Run</t>
        </is>
      </c>
      <c r="K80" s="8" t="n"/>
      <c r="L80" s="8" t="n"/>
      <c r="M80" s="8" t="n"/>
    </row>
    <row r="81" ht="78" customHeight="1">
      <c r="A81" s="9" t="inlineStr">
        <is>
          <t>AC-080</t>
        </is>
      </c>
      <c r="B81" s="9" t="inlineStr">
        <is>
          <t>NFR 9.5</t>
        </is>
      </c>
      <c r="C81" s="9" t="inlineStr">
        <is>
          <t>Non-Functional: Accessibility &amp; Devices</t>
        </is>
      </c>
      <c r="D81" s="9" t="inlineStr">
        <is>
          <t>The app is usable on both desktop and mobile screen sizes</t>
        </is>
      </c>
      <c r="E81" s="9" t="inlineStr">
        <is>
          <t>Positive</t>
        </is>
      </c>
      <c r="F81" s="9" t="inlineStr">
        <is>
          <t>Should</t>
        </is>
      </c>
      <c r="G81" s="9" t="inlineStr">
        <is>
          <t>The release test plan lists the supported desktop, tablet, and mobile browser versions and the exact viewport widths to test.</t>
        </is>
      </c>
      <c r="H81" s="9" t="inlineStr">
        <is>
          <t>1. Perform the same applicable wedding tasks at each listed viewport width.</t>
        </is>
      </c>
      <c r="I81" s="9" t="inlineStr">
        <is>
          <t>every required content element and action remains available without content overlap or horizontal scrolling at the page level, desktop planning tasks remain operable at each listed desktop and tablet width, and every Day-Of Mode task in FR-8.4 remains operable at each listed portrait-phone width without a native application.</t>
        </is>
      </c>
      <c r="J81" s="9" t="inlineStr">
        <is>
          <t>Not Run</t>
        </is>
      </c>
      <c r="K81" s="9" t="n"/>
      <c r="L81" s="9" t="n"/>
      <c r="M81" s="9" t="n"/>
    </row>
    <row r="82" ht="163.5" customHeight="1">
      <c r="A82" s="8" t="inlineStr">
        <is>
          <t>AC-081</t>
        </is>
      </c>
      <c r="B82" s="8" t="inlineStr">
        <is>
          <t>§11.1–11.2</t>
        </is>
      </c>
      <c r="C82" s="8" t="inlineStr">
        <is>
          <t>End-to-End Scenario</t>
        </is>
      </c>
      <c r="D82" s="8" t="inlineStr">
        <is>
          <t>Full setup-to-approval walkthrough</t>
        </is>
      </c>
      <c r="E82" s="8" t="inlineStr">
        <is>
          <t>End-to-End</t>
        </is>
      </c>
      <c r="F82" s="8" t="inlineStr">
        <is>
          <t>Must</t>
        </is>
      </c>
      <c r="G82" s="8" t="inlineStr">
        <is>
          <t>A new wedding, a valid guest spreadsheet, documented side labels, sufficient tables, and a user set containing Planner, Couple, and Collaborator roles.</t>
        </is>
      </c>
      <c r="H82" s="8" t="inlineStr">
        <is>
          <t>1. Import guests and resolve any import errors.
2. Create Must-Sit-Together and Must-Not-Sit-Together rules and select a Side-Mixing setting.
3. Quick-create tables.
4. Generate a Current Plan Version and share it.
5. Attempt a prohibited edit, confirm it is blocked and explained, then have an eligible Couple user approve the plan.</t>
        </is>
      </c>
      <c r="I82" s="8" t="inlineStr">
        <is>
          <t>each step follows its functional criteria and the Current Plan Version ends Approved with every Attending guest assigned exactly once and no unresolved hard-rule issue.</t>
        </is>
      </c>
      <c r="J82" s="8" t="inlineStr">
        <is>
          <t>Not Run</t>
        </is>
      </c>
      <c r="K82" s="8" t="n"/>
      <c r="L82" s="8" t="n"/>
      <c r="M82" s="8" t="n"/>
    </row>
    <row r="83" ht="79.5" customHeight="1">
      <c r="A83" s="9" t="inlineStr">
        <is>
          <t>AC-082</t>
        </is>
      </c>
      <c r="B83" s="9" t="inlineStr">
        <is>
          <t>§11.3</t>
        </is>
      </c>
      <c r="C83" s="9" t="inlineStr">
        <is>
          <t>End-to-End Scenario</t>
        </is>
      </c>
      <c r="D83" s="9" t="inlineStr">
        <is>
          <t>Pre-wedding changes after approval</t>
        </is>
      </c>
      <c r="E83" s="9" t="inlineStr">
        <is>
          <t>End-to-End</t>
        </is>
      </c>
      <c r="F83" s="9" t="inlineStr">
        <is>
          <t>Must</t>
        </is>
      </c>
      <c r="G83" s="9" t="inlineStr">
        <is>
          <t>A complete, Approved Current Plan Version exists.</t>
        </is>
      </c>
      <c r="H83" s="9" t="inlineStr">
        <is>
          <t>1. Mark two Attending guests Not Attending.
2. Add one late guest as Attending and assign them a valid table.</t>
        </is>
      </c>
      <c r="I83" s="9" t="inlineStr">
        <is>
          <t>the two former assignments are removed without full regeneration, capacity and linked rules are rechecked, the late guest occupies available table capacity without violating a hard rule, the version remains Approved, Modified Since Approval is visible, and all three changes appear in history.</t>
        </is>
      </c>
      <c r="J83" s="9" t="inlineStr">
        <is>
          <t>Not Run</t>
        </is>
      </c>
      <c r="K83" s="9" t="n"/>
      <c r="L83" s="9" t="n"/>
      <c r="M83" s="9" t="n"/>
    </row>
    <row r="84" ht="108" customHeight="1">
      <c r="A84" s="8" t="inlineStr">
        <is>
          <t>AC-083</t>
        </is>
      </c>
      <c r="B84" s="8" t="inlineStr">
        <is>
          <t>§11.4</t>
        </is>
      </c>
      <c r="C84" s="8" t="inlineStr">
        <is>
          <t>End-to-End Scenario</t>
        </is>
      </c>
      <c r="D84" s="8" t="inlineStr">
        <is>
          <t>Day-of execution using day-of mode and printed backups</t>
        </is>
      </c>
      <c r="E84" s="8" t="inlineStr">
        <is>
          <t>End-to-End</t>
        </is>
      </c>
      <c r="F84" s="8" t="inlineStr">
        <is>
          <t>Must</t>
        </is>
      </c>
      <c r="G84" s="8" t="inlineStr">
        <is>
          <t>An Approved Current Plan Version exists, and event-ready PDFs were downloaded or printed before the following day-of changes.</t>
        </is>
      </c>
      <c r="H84" s="8" t="inlineStr">
        <is>
          <t>1. Mark a no-show guest Not Attending in Day-Of Mode.
2. Complete a valid table-assignment swap between two guests in Day-Of Mode.</t>
        </is>
      </c>
      <c r="I84" s="8" t="inlineStr">
        <is>
          <t>both actions follow hard- and soft-rule behavior, each saved change appears in Change History, the digital Current Plan Version reflects the changes, and the previously produced materials continue to show the assignments captured at their export time without being represented as automatically updated.</t>
        </is>
      </c>
      <c r="J84" s="8" t="inlineStr">
        <is>
          <t>Not Run</t>
        </is>
      </c>
      <c r="K84" s="8" t="n"/>
      <c r="L84" s="8" t="n"/>
      <c r="M84" s="8" t="n"/>
    </row>
    <row r="85" ht="108" customHeight="1">
      <c r="A85" s="9" t="inlineStr">
        <is>
          <t>AC-084</t>
        </is>
      </c>
      <c r="B85" s="9" t="inlineStr">
        <is>
          <t>§7, §1</t>
        </is>
      </c>
      <c r="C85" s="9" t="inlineStr">
        <is>
          <t>End-to-End Scenario</t>
        </is>
      </c>
      <c r="D85" s="9" t="inlineStr">
        <is>
          <t>Two clients' weddings never cross-contaminate across a full lifecycle</t>
        </is>
      </c>
      <c r="E85" s="9" t="inlineStr">
        <is>
          <t>End-to-End</t>
        </is>
      </c>
      <c r="F85" s="9" t="inlineStr">
        <is>
          <t>Must</t>
        </is>
      </c>
      <c r="G85" s="9" t="inlineStr">
        <is>
          <t>One planner owns Wedding A and Wedding B, with different collaborators granted access to each.</t>
        </is>
      </c>
      <c r="H85" s="9" t="inlineStr">
        <is>
          <t>1. Configure, import, generate, review, approve, edit, and export both weddings independently, checking for cross-contamination at each stage.</t>
        </is>
      </c>
      <c r="I85" s="9" t="inlineStr">
        <is>
          <t>no guest, rule, table, floor-plan position, plan, comment, activity entry, access grant, notification, or export content from either wedding appears in or is retrievable through the other wedding.</t>
        </is>
      </c>
      <c r="J85" s="9" t="inlineStr">
        <is>
          <t>Not Run</t>
        </is>
      </c>
      <c r="K85" s="9" t="n"/>
      <c r="L85" s="9" t="n"/>
      <c r="M85" s="9" t="n"/>
    </row>
  </sheetData>
  <autoFilter ref="A1:M85"/>
  <conditionalFormatting sqref="F2:F85">
    <cfRule type="cellIs" priority="6" operator="equal" dxfId="4">
      <formula>"Must"</formula>
    </cfRule>
  </conditionalFormatting>
  <conditionalFormatting sqref="J2:J85">
    <cfRule type="cellIs" priority="2" operator="equal" dxfId="3">
      <formula>"Pass"</formula>
    </cfRule>
    <cfRule type="cellIs" priority="3" operator="equal" dxfId="2">
      <formula>"Fail"</formula>
    </cfRule>
    <cfRule type="cellIs" priority="4" operator="equal" dxfId="1">
      <formula>"Blocked"</formula>
    </cfRule>
    <cfRule type="cellIs" priority="5" operator="equal" dxfId="0">
      <formula>"Not Run"</formula>
    </cfRule>
  </conditionalFormatting>
  <dataValidations count="1">
    <dataValidation sqref="J2:J85" showDropDown="0" showInputMessage="0" showErrorMessage="0" allowBlank="0" errorTitle="Invalid status" error="Choose one of: Not Run, Pass, Fail, Blocked, N/A" type="list">
      <formula1>"Not Run,Pass,Fail,Blocked,N/A"</formula1>
      <formula2>0</formula2>
    </dataValidation>
  </dataValidation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G24"/>
  <sheetViews>
    <sheetView showGridLines="0" zoomScaleNormal="100" workbookViewId="0">
      <selection activeCell="A1" sqref="A1"/>
    </sheetView>
  </sheetViews>
  <sheetFormatPr baseColWidth="10" defaultColWidth="8.6640625" defaultRowHeight="15"/>
  <cols>
    <col width="34" customWidth="1" min="1" max="1"/>
    <col width="12" customWidth="1" min="2" max="2"/>
    <col width="10" customWidth="1" min="3" max="5"/>
    <col width="16" customWidth="1" min="6" max="6"/>
    <col width="10" customWidth="1" min="7" max="7"/>
  </cols>
  <sheetData>
    <row r="1" ht="19.75" customHeight="1">
      <c r="A1" s="10" t="inlineStr">
        <is>
          <t>Seatwise — Acceptance Test Summary</t>
        </is>
      </c>
    </row>
    <row r="2" ht="15" customHeight="1">
      <c r="A2" s="11" t="inlineStr">
        <is>
          <t>Counts update automatically from the Test Cases tab as Status values are filled in.</t>
        </is>
      </c>
    </row>
    <row r="4" ht="24" customHeight="1">
      <c r="A4" s="12" t="inlineStr">
        <is>
          <t>Feature Area</t>
        </is>
      </c>
      <c r="B4" s="12" t="inlineStr">
        <is>
          <t>Total Tests</t>
        </is>
      </c>
      <c r="C4" s="12" t="inlineStr">
        <is>
          <t>Pass</t>
        </is>
      </c>
      <c r="D4" s="12" t="inlineStr">
        <is>
          <t>Fail</t>
        </is>
      </c>
      <c r="E4" s="12" t="inlineStr">
        <is>
          <t>Blocked</t>
        </is>
      </c>
      <c r="F4" s="12" t="inlineStr">
        <is>
          <t>Not Run / N/A</t>
        </is>
      </c>
      <c r="G4" s="12" t="inlineStr">
        <is>
          <t>% Pass</t>
        </is>
      </c>
    </row>
    <row r="5" ht="15" customHeight="1">
      <c r="A5" s="13" t="inlineStr">
        <is>
          <t>Cross-Cutting Invariant</t>
        </is>
      </c>
      <c r="B5" s="14">
        <f>COUNTIF('Test Cases'!$C$2:$C$85,A5)</f>
        <v/>
      </c>
      <c r="C5" s="14">
        <f>COUNTIFS('Test Cases'!$C$2:$C$85,A5,'Test Cases'!$J$2:$J$85,"Pass")</f>
        <v/>
      </c>
      <c r="D5" s="14">
        <f>COUNTIFS('Test Cases'!$C$2:$C$85,A5,'Test Cases'!$J$2:$J$85,"Fail")</f>
        <v/>
      </c>
      <c r="E5" s="14">
        <f>COUNTIFS('Test Cases'!$C$2:$C$85,A5,'Test Cases'!$J$2:$J$85,"Blocked")</f>
        <v/>
      </c>
      <c r="F5" s="14">
        <f>B5-C5-D5-E5</f>
        <v/>
      </c>
      <c r="G5" s="15">
        <f>IFERROR(C5/B5,0)</f>
        <v/>
      </c>
    </row>
    <row r="6" ht="15" customHeight="1">
      <c r="A6" s="16" t="inlineStr">
        <is>
          <t>Account &amp; Wedding Management</t>
        </is>
      </c>
      <c r="B6" s="17">
        <f>COUNTIF('Test Cases'!$C$2:$C$85,A6)</f>
        <v/>
      </c>
      <c r="C6" s="17">
        <f>COUNTIFS('Test Cases'!$C$2:$C$85,A6,'Test Cases'!$J$2:$J$85,"Pass")</f>
        <v/>
      </c>
      <c r="D6" s="17">
        <f>COUNTIFS('Test Cases'!$C$2:$C$85,A6,'Test Cases'!$J$2:$J$85,"Fail")</f>
        <v/>
      </c>
      <c r="E6" s="17">
        <f>COUNTIFS('Test Cases'!$C$2:$C$85,A6,'Test Cases'!$J$2:$J$85,"Blocked")</f>
        <v/>
      </c>
      <c r="F6" s="17">
        <f>B6-C6-D6-E6</f>
        <v/>
      </c>
      <c r="G6" s="18">
        <f>IFERROR(C6/B6,0)</f>
        <v/>
      </c>
    </row>
    <row r="7" ht="15" customHeight="1">
      <c r="A7" s="13" t="inlineStr">
        <is>
          <t>Guest List Management</t>
        </is>
      </c>
      <c r="B7" s="14">
        <f>COUNTIF('Test Cases'!$C$2:$C$85,A7)</f>
        <v/>
      </c>
      <c r="C7" s="14">
        <f>COUNTIFS('Test Cases'!$C$2:$C$85,A7,'Test Cases'!$J$2:$J$85,"Pass")</f>
        <v/>
      </c>
      <c r="D7" s="14">
        <f>COUNTIFS('Test Cases'!$C$2:$C$85,A7,'Test Cases'!$J$2:$J$85,"Fail")</f>
        <v/>
      </c>
      <c r="E7" s="14">
        <f>COUNTIFS('Test Cases'!$C$2:$C$85,A7,'Test Cases'!$J$2:$J$85,"Blocked")</f>
        <v/>
      </c>
      <c r="F7" s="14">
        <f>B7-C7-D7-E7</f>
        <v/>
      </c>
      <c r="G7" s="15">
        <f>IFERROR(C7/B7,0)</f>
        <v/>
      </c>
    </row>
    <row r="8" ht="15" customHeight="1">
      <c r="A8" s="16" t="inlineStr">
        <is>
          <t>Relationships &amp; Seating Rules</t>
        </is>
      </c>
      <c r="B8" s="17">
        <f>COUNTIF('Test Cases'!$C$2:$C$85,A8)</f>
        <v/>
      </c>
      <c r="C8" s="17">
        <f>COUNTIFS('Test Cases'!$C$2:$C$85,A8,'Test Cases'!$J$2:$J$85,"Pass")</f>
        <v/>
      </c>
      <c r="D8" s="17">
        <f>COUNTIFS('Test Cases'!$C$2:$C$85,A8,'Test Cases'!$J$2:$J$85,"Fail")</f>
        <v/>
      </c>
      <c r="E8" s="17">
        <f>COUNTIFS('Test Cases'!$C$2:$C$85,A8,'Test Cases'!$J$2:$J$85,"Blocked")</f>
        <v/>
      </c>
      <c r="F8" s="17">
        <f>B8-C8-D8-E8</f>
        <v/>
      </c>
      <c r="G8" s="18">
        <f>IFERROR(C8/B8,0)</f>
        <v/>
      </c>
    </row>
    <row r="9" ht="15" customHeight="1">
      <c r="A9" s="13" t="inlineStr">
        <is>
          <t>Table &amp; Venue Layout</t>
        </is>
      </c>
      <c r="B9" s="14">
        <f>COUNTIF('Test Cases'!$C$2:$C$85,A9)</f>
        <v/>
      </c>
      <c r="C9" s="14">
        <f>COUNTIFS('Test Cases'!$C$2:$C$85,A9,'Test Cases'!$J$2:$J$85,"Pass")</f>
        <v/>
      </c>
      <c r="D9" s="14">
        <f>COUNTIFS('Test Cases'!$C$2:$C$85,A9,'Test Cases'!$J$2:$J$85,"Fail")</f>
        <v/>
      </c>
      <c r="E9" s="14">
        <f>COUNTIFS('Test Cases'!$C$2:$C$85,A9,'Test Cases'!$J$2:$J$85,"Blocked")</f>
        <v/>
      </c>
      <c r="F9" s="14">
        <f>B9-C9-D9-E9</f>
        <v/>
      </c>
      <c r="G9" s="15">
        <f>IFERROR(C9/B9,0)</f>
        <v/>
      </c>
    </row>
    <row r="10" ht="15" customHeight="1">
      <c r="A10" s="16" t="inlineStr">
        <is>
          <t>Automated Seat Assignment Engine</t>
        </is>
      </c>
      <c r="B10" s="17">
        <f>COUNTIF('Test Cases'!$C$2:$C$85,A10)</f>
        <v/>
      </c>
      <c r="C10" s="17">
        <f>COUNTIFS('Test Cases'!$C$2:$C$85,A10,'Test Cases'!$J$2:$J$85,"Pass")</f>
        <v/>
      </c>
      <c r="D10" s="17">
        <f>COUNTIFS('Test Cases'!$C$2:$C$85,A10,'Test Cases'!$J$2:$J$85,"Fail")</f>
        <v/>
      </c>
      <c r="E10" s="17">
        <f>COUNTIFS('Test Cases'!$C$2:$C$85,A10,'Test Cases'!$J$2:$J$85,"Blocked")</f>
        <v/>
      </c>
      <c r="F10" s="17">
        <f>B10-C10-D10-E10</f>
        <v/>
      </c>
      <c r="G10" s="18">
        <f>IFERROR(C10/B10,0)</f>
        <v/>
      </c>
    </row>
    <row r="11" ht="15" customHeight="1">
      <c r="A11" s="13" t="inlineStr">
        <is>
          <t>Review &amp; Approval</t>
        </is>
      </c>
      <c r="B11" s="14">
        <f>COUNTIF('Test Cases'!$C$2:$C$85,A11)</f>
        <v/>
      </c>
      <c r="C11" s="14">
        <f>COUNTIFS('Test Cases'!$C$2:$C$85,A11,'Test Cases'!$J$2:$J$85,"Pass")</f>
        <v/>
      </c>
      <c r="D11" s="14">
        <f>COUNTIFS('Test Cases'!$C$2:$C$85,A11,'Test Cases'!$J$2:$J$85,"Fail")</f>
        <v/>
      </c>
      <c r="E11" s="14">
        <f>COUNTIFS('Test Cases'!$C$2:$C$85,A11,'Test Cases'!$J$2:$J$85,"Blocked")</f>
        <v/>
      </c>
      <c r="F11" s="14">
        <f>B11-C11-D11-E11</f>
        <v/>
      </c>
      <c r="G11" s="15">
        <f>IFERROR(C11/B11,0)</f>
        <v/>
      </c>
    </row>
    <row r="12" ht="15" customHeight="1">
      <c r="A12" s="16" t="inlineStr">
        <is>
          <t>Manual Adjustment</t>
        </is>
      </c>
      <c r="B12" s="17">
        <f>COUNTIF('Test Cases'!$C$2:$C$85,A12)</f>
        <v/>
      </c>
      <c r="C12" s="17">
        <f>COUNTIFS('Test Cases'!$C$2:$C$85,A12,'Test Cases'!$J$2:$J$85,"Pass")</f>
        <v/>
      </c>
      <c r="D12" s="17">
        <f>COUNTIFS('Test Cases'!$C$2:$C$85,A12,'Test Cases'!$J$2:$J$85,"Fail")</f>
        <v/>
      </c>
      <c r="E12" s="17">
        <f>COUNTIFS('Test Cases'!$C$2:$C$85,A12,'Test Cases'!$J$2:$J$85,"Blocked")</f>
        <v/>
      </c>
      <c r="F12" s="17">
        <f>B12-C12-D12-E12</f>
        <v/>
      </c>
      <c r="G12" s="18">
        <f>IFERROR(C12/B12,0)</f>
        <v/>
      </c>
    </row>
    <row r="13" ht="15" customHeight="1">
      <c r="A13" s="13" t="inlineStr">
        <is>
          <t>Day-Of / Emergency Mode</t>
        </is>
      </c>
      <c r="B13" s="14">
        <f>COUNTIF('Test Cases'!$C$2:$C$85,A13)</f>
        <v/>
      </c>
      <c r="C13" s="14">
        <f>COUNTIFS('Test Cases'!$C$2:$C$85,A13,'Test Cases'!$J$2:$J$85,"Pass")</f>
        <v/>
      </c>
      <c r="D13" s="14">
        <f>COUNTIFS('Test Cases'!$C$2:$C$85,A13,'Test Cases'!$J$2:$J$85,"Fail")</f>
        <v/>
      </c>
      <c r="E13" s="14">
        <f>COUNTIFS('Test Cases'!$C$2:$C$85,A13,'Test Cases'!$J$2:$J$85,"Blocked")</f>
        <v/>
      </c>
      <c r="F13" s="14">
        <f>B13-C13-D13-E13</f>
        <v/>
      </c>
      <c r="G13" s="15">
        <f>IFERROR(C13/B13,0)</f>
        <v/>
      </c>
    </row>
    <row r="14" ht="15" customHeight="1">
      <c r="A14" s="16" t="inlineStr">
        <is>
          <t>Export &amp; Print</t>
        </is>
      </c>
      <c r="B14" s="17">
        <f>COUNTIF('Test Cases'!$C$2:$C$85,A14)</f>
        <v/>
      </c>
      <c r="C14" s="17">
        <f>COUNTIFS('Test Cases'!$C$2:$C$85,A14,'Test Cases'!$J$2:$J$85,"Pass")</f>
        <v/>
      </c>
      <c r="D14" s="17">
        <f>COUNTIFS('Test Cases'!$C$2:$C$85,A14,'Test Cases'!$J$2:$J$85,"Fail")</f>
        <v/>
      </c>
      <c r="E14" s="17">
        <f>COUNTIFS('Test Cases'!$C$2:$C$85,A14,'Test Cases'!$J$2:$J$85,"Blocked")</f>
        <v/>
      </c>
      <c r="F14" s="17">
        <f>B14-C14-D14-E14</f>
        <v/>
      </c>
      <c r="G14" s="18">
        <f>IFERROR(C14/B14,0)</f>
        <v/>
      </c>
    </row>
    <row r="15" ht="15" customHeight="1">
      <c r="A15" s="13" t="inlineStr">
        <is>
          <t>Collaboration &amp; Notifications</t>
        </is>
      </c>
      <c r="B15" s="14">
        <f>COUNTIF('Test Cases'!$C$2:$C$85,A15)</f>
        <v/>
      </c>
      <c r="C15" s="14">
        <f>COUNTIFS('Test Cases'!$C$2:$C$85,A15,'Test Cases'!$J$2:$J$85,"Pass")</f>
        <v/>
      </c>
      <c r="D15" s="14">
        <f>COUNTIFS('Test Cases'!$C$2:$C$85,A15,'Test Cases'!$J$2:$J$85,"Fail")</f>
        <v/>
      </c>
      <c r="E15" s="14">
        <f>COUNTIFS('Test Cases'!$C$2:$C$85,A15,'Test Cases'!$J$2:$J$85,"Blocked")</f>
        <v/>
      </c>
      <c r="F15" s="14">
        <f>B15-C15-D15-E15</f>
        <v/>
      </c>
      <c r="G15" s="15">
        <f>IFERROR(C15/B15,0)</f>
        <v/>
      </c>
    </row>
    <row r="16" ht="15" customHeight="1">
      <c r="A16" s="16" t="inlineStr">
        <is>
          <t>Non-Functional: Performance</t>
        </is>
      </c>
      <c r="B16" s="17">
        <f>COUNTIF('Test Cases'!$C$2:$C$85,A16)</f>
        <v/>
      </c>
      <c r="C16" s="17">
        <f>COUNTIFS('Test Cases'!$C$2:$C$85,A16,'Test Cases'!$J$2:$J$85,"Pass")</f>
        <v/>
      </c>
      <c r="D16" s="17">
        <f>COUNTIFS('Test Cases'!$C$2:$C$85,A16,'Test Cases'!$J$2:$J$85,"Fail")</f>
        <v/>
      </c>
      <c r="E16" s="17">
        <f>COUNTIFS('Test Cases'!$C$2:$C$85,A16,'Test Cases'!$J$2:$J$85,"Blocked")</f>
        <v/>
      </c>
      <c r="F16" s="17">
        <f>B16-C16-D16-E16</f>
        <v/>
      </c>
      <c r="G16" s="18">
        <f>IFERROR(C16/B16,0)</f>
        <v/>
      </c>
    </row>
    <row r="17" ht="15" customHeight="1">
      <c r="A17" s="13" t="inlineStr">
        <is>
          <t>Non-Functional: Usability</t>
        </is>
      </c>
      <c r="B17" s="14">
        <f>COUNTIF('Test Cases'!$C$2:$C$85,A17)</f>
        <v/>
      </c>
      <c r="C17" s="14">
        <f>COUNTIFS('Test Cases'!$C$2:$C$85,A17,'Test Cases'!$J$2:$J$85,"Pass")</f>
        <v/>
      </c>
      <c r="D17" s="14">
        <f>COUNTIFS('Test Cases'!$C$2:$C$85,A17,'Test Cases'!$J$2:$J$85,"Fail")</f>
        <v/>
      </c>
      <c r="E17" s="14">
        <f>COUNTIFS('Test Cases'!$C$2:$C$85,A17,'Test Cases'!$J$2:$J$85,"Blocked")</f>
        <v/>
      </c>
      <c r="F17" s="14">
        <f>B17-C17-D17-E17</f>
        <v/>
      </c>
      <c r="G17" s="15">
        <f>IFERROR(C17/B17,0)</f>
        <v/>
      </c>
    </row>
    <row r="18" ht="15" customHeight="1">
      <c r="A18" s="16" t="inlineStr">
        <is>
          <t>Non-Functional: Security &amp; Multi-Tenancy</t>
        </is>
      </c>
      <c r="B18" s="17">
        <f>COUNTIF('Test Cases'!$C$2:$C$85,A18)</f>
        <v/>
      </c>
      <c r="C18" s="17">
        <f>COUNTIFS('Test Cases'!$C$2:$C$85,A18,'Test Cases'!$J$2:$J$85,"Pass")</f>
        <v/>
      </c>
      <c r="D18" s="17">
        <f>COUNTIFS('Test Cases'!$C$2:$C$85,A18,'Test Cases'!$J$2:$J$85,"Fail")</f>
        <v/>
      </c>
      <c r="E18" s="17">
        <f>COUNTIFS('Test Cases'!$C$2:$C$85,A18,'Test Cases'!$J$2:$J$85,"Blocked")</f>
        <v/>
      </c>
      <c r="F18" s="17">
        <f>B18-C18-D18-E18</f>
        <v/>
      </c>
      <c r="G18" s="18">
        <f>IFERROR(C18/B18,0)</f>
        <v/>
      </c>
    </row>
    <row r="19" ht="15" customHeight="1">
      <c r="A19" s="13" t="inlineStr">
        <is>
          <t>Non-Functional: Availability</t>
        </is>
      </c>
      <c r="B19" s="14">
        <f>COUNTIF('Test Cases'!$C$2:$C$85,A19)</f>
        <v/>
      </c>
      <c r="C19" s="14">
        <f>COUNTIFS('Test Cases'!$C$2:$C$85,A19,'Test Cases'!$J$2:$J$85,"Pass")</f>
        <v/>
      </c>
      <c r="D19" s="14">
        <f>COUNTIFS('Test Cases'!$C$2:$C$85,A19,'Test Cases'!$J$2:$J$85,"Fail")</f>
        <v/>
      </c>
      <c r="E19" s="14">
        <f>COUNTIFS('Test Cases'!$C$2:$C$85,A19,'Test Cases'!$J$2:$J$85,"Blocked")</f>
        <v/>
      </c>
      <c r="F19" s="14">
        <f>B19-C19-D19-E19</f>
        <v/>
      </c>
      <c r="G19" s="15">
        <f>IFERROR(C19/B19,0)</f>
        <v/>
      </c>
    </row>
    <row r="20" ht="15" customHeight="1">
      <c r="A20" s="16" t="inlineStr">
        <is>
          <t>Non-Functional: Accessibility &amp; Devices</t>
        </is>
      </c>
      <c r="B20" s="17">
        <f>COUNTIF('Test Cases'!$C$2:$C$85,A20)</f>
        <v/>
      </c>
      <c r="C20" s="17">
        <f>COUNTIFS('Test Cases'!$C$2:$C$85,A20,'Test Cases'!$J$2:$J$85,"Pass")</f>
        <v/>
      </c>
      <c r="D20" s="17">
        <f>COUNTIFS('Test Cases'!$C$2:$C$85,A20,'Test Cases'!$J$2:$J$85,"Fail")</f>
        <v/>
      </c>
      <c r="E20" s="17">
        <f>COUNTIFS('Test Cases'!$C$2:$C$85,A20,'Test Cases'!$J$2:$J$85,"Blocked")</f>
        <v/>
      </c>
      <c r="F20" s="17">
        <f>B20-C20-D20-E20</f>
        <v/>
      </c>
      <c r="G20" s="18">
        <f>IFERROR(C20/B20,0)</f>
        <v/>
      </c>
    </row>
    <row r="21" ht="15" customHeight="1">
      <c r="A21" s="13" t="inlineStr">
        <is>
          <t>End-to-End Scenario</t>
        </is>
      </c>
      <c r="B21" s="14">
        <f>COUNTIF('Test Cases'!$C$2:$C$85,A21)</f>
        <v/>
      </c>
      <c r="C21" s="14">
        <f>COUNTIFS('Test Cases'!$C$2:$C$85,A21,'Test Cases'!$J$2:$J$85,"Pass")</f>
        <v/>
      </c>
      <c r="D21" s="14">
        <f>COUNTIFS('Test Cases'!$C$2:$C$85,A21,'Test Cases'!$J$2:$J$85,"Fail")</f>
        <v/>
      </c>
      <c r="E21" s="14">
        <f>COUNTIFS('Test Cases'!$C$2:$C$85,A21,'Test Cases'!$J$2:$J$85,"Blocked")</f>
        <v/>
      </c>
      <c r="F21" s="14">
        <f>B21-C21-D21-E21</f>
        <v/>
      </c>
      <c r="G21" s="15">
        <f>IFERROR(C21/B21,0)</f>
        <v/>
      </c>
    </row>
    <row r="22" ht="15" customHeight="1">
      <c r="A22" s="19" t="inlineStr">
        <is>
          <t>TOTAL</t>
        </is>
      </c>
      <c r="B22" s="20">
        <f>SUM(B5:B21)</f>
        <v/>
      </c>
      <c r="C22" s="20">
        <f>SUM(C5:C21)</f>
        <v/>
      </c>
      <c r="D22" s="20">
        <f>SUM(D5:D21)</f>
        <v/>
      </c>
      <c r="E22" s="20">
        <f>SUM(E5:E21)</f>
        <v/>
      </c>
      <c r="F22" s="20">
        <f>B22-C22-D22-E22</f>
        <v/>
      </c>
      <c r="G22" s="21">
        <f>IFERROR(C22/B22,0)</f>
        <v/>
      </c>
    </row>
    <row r="24" ht="43.25" customHeight="1">
      <c r="A24" s="22" t="inlineStr">
        <is>
          <t>Total acceptance tests: 84, covering every functional requirement (FR-0.x–FR-10.x), every non-functional requirement, and 4 end-to-end scenarios from the PRD.</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Tom Carter</dc:creator>
  <dc:title xmlns:dc="http://purl.org/dc/elements/1.1/">Seatwise Acceptance Test Plan - Revised Final</dc:title>
  <dc:subject xmlns:dc="http://purl.org/dc/elements/1.1/">Aligned to Seatwise requirements v1.1 and final acceptance criteria; IDs and Scenario titles preserved</dc:subject>
  <dcterms:created xmlns:dcterms="http://purl.org/dc/terms/" xmlns:xsi="http://www.w3.org/2001/XMLSchema-instance" xsi:type="dcterms:W3CDTF">2026-09-04T15:20:40Z</dcterms:created>
  <dcterms:modified xmlns:dcterms="http://purl.org/dc/terms/" xmlns:xsi="http://www.w3.org/2001/XMLSchema-instance" xsi:type="dcterms:W3CDTF">2026-09-04T15:39:13Z</dcterms:modified>
  <cp:lastModifiedBy>Tom Carter</cp:lastModifiedBy>
  <cp:revision>0</cp:revision>
</cp:coreProperties>
</file>