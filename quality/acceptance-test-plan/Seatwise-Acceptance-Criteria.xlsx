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st Cases" sheetId="2" state="visible" r:id="rId4"/>
    <sheet name="Summary" sheetId="3" state="visible" r:id="rId5"/>
  </sheets>
  <definedNames>
    <definedName function="false" hidden="true" localSheetId="1" name="_xlnm._FilterDatabase" vbProcedure="false">'Test Cases'!$A$1:$M$85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<sst xmlns="http://schemas.openxmlformats.org/spreadsheetml/2006/main" count="916" uniqueCount="572">
  <si>
    <t xml:space="preserve">Seatwise — Acceptance Test Plan</t>
  </si>
  <si>
    <t xml:space="preserve">Companion to the Seatwise Product Requirements Document. Version 1.0 · Prepared for Tom Carter, E-gineering</t>
  </si>
  <si>
    <t xml:space="preserve">Purpose</t>
  </si>
  <si>
    <t xml:space="preserve">Every row on the "Test Cases" tab is a single, self-contained acceptance test derived directly from one requirement in the Seatwise PRD. Each one can be executed and judged pass/fail by someone who has never seen the app or its design before — no knowledge of how it was built is required, only the ability to follow the numbered steps and compare the result to what's expected.</t>
  </si>
  <si>
    <t xml:space="preserve">How to use this workbook</t>
  </si>
  <si>
    <t xml:space="preserve">1. Open the "Test Cases" tab. Use the filter arrows on the header row to narrow to a Feature Area, Type, or Priority you want to run — for example, filter Priority = Must to run the safety-critical tests first, or Feature Area = Day-Of / Emergency Mode to test one area in isolation.</t>
  </si>
  <si>
    <t xml:space="preserve">2. For each row, set up whatever the Preconditions column describes, then follow the numbered Test Steps exactly.</t>
  </si>
  <si>
    <t xml:space="preserve">3. Compare what actually happens to the Expected Result column.</t>
  </si>
  <si>
    <t xml:space="preserve">4. Set the Status cell using the dropdown: Pass, Fail, Blocked, or N/A (see definitions below). Rows start as "Not Run."</t>
  </si>
  <si>
    <t xml:space="preserve">5. Fill in Tested By and Date Tested.</t>
  </si>
  <si>
    <t xml:space="preserve">6. If the result was Fail or Blocked, describe exactly what happened in Notes — what you saw instead of the expected result — so it can be reproduced.</t>
  </si>
  <si>
    <t xml:space="preserve">Status definitions</t>
  </si>
  <si>
    <t xml:space="preserve">Pass — what you observed matches the Expected Result exactly.</t>
  </si>
  <si>
    <t xml:space="preserve">Fail — what you observed does not match the Expected Result. Explain the actual behavior in Notes.</t>
  </si>
  <si>
    <t xml:space="preserve">Blocked — the test could not be run at all, usually because an earlier, unrelated test failed first. Explain what blocked it in Notes.</t>
  </si>
  <si>
    <t xml:space="preserve">N/A — the requirement does not apply in this build or environment (e.g., a feature intentionally not yet built). Explain why in Notes.</t>
  </si>
  <si>
    <t xml:space="preserve">Column reference</t>
  </si>
  <si>
    <t xml:space="preserve">Requirement Ref — the requirement ID(s) from the PRD this test verifies (e.g., FR-3.2). Open the PRD and search for that ID for full context if a step is ever unclear.</t>
  </si>
  <si>
    <t xml:space="preserve">Type — Positive (confirms the feature works as intended), Negative (confirms the system correctly blocks or rejects something it should), Boundary/Performance/Security/Accessibility (specialized checks), or End-to-End (a full multi-step scenario spanning several requirements).</t>
  </si>
  <si>
    <t xml:space="preserve">Priority — Must (safety-critical or core to the product; a failure here should block release) or Should (important but not release-blocking on its own).</t>
  </si>
  <si>
    <t xml:space="preserve">Example of a completed row</t>
  </si>
  <si>
    <t xml:space="preserve">ID:  EX-1</t>
  </si>
  <si>
    <t xml:space="preserve">Requirement Ref:  FR-1.1</t>
  </si>
  <si>
    <t xml:space="preserve">Feature Area:  Account &amp; Wedding Management</t>
  </si>
  <si>
    <t xml:space="preserve">Scenario:  Create an account with multiple weddings</t>
  </si>
  <si>
    <t xml:space="preserve">Type:  Positive</t>
  </si>
  <si>
    <t xml:space="preserve">Priority:  Must</t>
  </si>
  <si>
    <t xml:space="preserve">Preconditions:  No existing planner account.</t>
  </si>
  <si>
    <t xml:space="preserve">Test Steps:  1. Create a new planner account.
2. Create a wedding named "Test Wedding A."
3. Create a second wedding named "Test Wedding B."</t>
  </si>
  <si>
    <t xml:space="preserve">Expected Result:  Both weddings exist under the same account and can each be opened independently.</t>
  </si>
  <si>
    <t xml:space="preserve">Status:  Pass</t>
  </si>
  <si>
    <t xml:space="preserve">Tested By:  J. Rivera</t>
  </si>
  <si>
    <t xml:space="preserve">Date Tested:  2026-09-10</t>
  </si>
  <si>
    <t xml:space="preserve">Notes:  Both weddings created and opened without issue.</t>
  </si>
  <si>
    <t xml:space="preserve">Tip: this example row is for reference only — it is not part of the Test Cases tab and should not be edited.</t>
  </si>
  <si>
    <t xml:space="preserve">ID</t>
  </si>
  <si>
    <t xml:space="preserve">Requirement Ref</t>
  </si>
  <si>
    <t xml:space="preserve">Feature Area</t>
  </si>
  <si>
    <t xml:space="preserve">Scenario</t>
  </si>
  <si>
    <t xml:space="preserve">Type</t>
  </si>
  <si>
    <t xml:space="preserve">Priority</t>
  </si>
  <si>
    <t xml:space="preserve">Preconditions</t>
  </si>
  <si>
    <t xml:space="preserve">Test Steps</t>
  </si>
  <si>
    <t xml:space="preserve">Expected Result</t>
  </si>
  <si>
    <t xml:space="preserve">Status</t>
  </si>
  <si>
    <t xml:space="preserve">Tested By</t>
  </si>
  <si>
    <t xml:space="preserve">Date Tested</t>
  </si>
  <si>
    <t xml:space="preserve">Notes</t>
  </si>
  <si>
    <t xml:space="preserve">AC-001</t>
  </si>
  <si>
    <t xml:space="preserve">FR-0.1</t>
  </si>
  <si>
    <t xml:space="preserve">Cross-Cutting Invariant</t>
  </si>
  <si>
    <t xml:space="preserve">Hard rules cannot be violated by any direct action</t>
  </si>
  <si>
    <t xml:space="preserve">Negative</t>
  </si>
  <si>
    <t xml:space="preserve">Must</t>
  </si>
  <si>
    <t xml:space="preserve">A wedding has: a Must-Not-Sit-Together rule, one table already at full capacity, and one Restricted table with an explicit guest list.</t>
  </si>
  <si>
    <t xml:space="preserve">1. Attempt to manually seat two Must-Not-Sit-Together guests at the same table.
2. Attempt to seat any guest at the table that is already full.
3. Attempt to seat a guest who is NOT on a Restricted table's list at that table.</t>
  </si>
  <si>
    <t xml:space="preserve">All three attempts are blocked before taking effect. Each shows a plain-language message naming the specific rule and guests involved. No option to override is offered.</t>
  </si>
  <si>
    <t xml:space="preserve">Not Run</t>
  </si>
  <si>
    <t xml:space="preserve">AC-002</t>
  </si>
  <si>
    <t xml:space="preserve">Indirect hard-rule violation flags the guest instead of hiding it</t>
  </si>
  <si>
    <t xml:space="preserve">Guest is already seated at Table 5. A Must-Not-Sit-Together rule does not yet apply to their tablemate.</t>
  </si>
  <si>
    <t xml:space="preserve">1. Edit the guest's household so a Must-Not-Sit-Together rule now applies between them and their current tablemate at Table 5.</t>
  </si>
  <si>
    <t xml:space="preserve">The guest is visibly flagged as needing reassignment. The plan is not saved or displayed as if everything were fine. No other guest is moved automatically.</t>
  </si>
  <si>
    <t xml:space="preserve">AC-003</t>
  </si>
  <si>
    <t xml:space="preserve">FR-0.2</t>
  </si>
  <si>
    <t xml:space="preserve">Soft-rule violations warn but never block</t>
  </si>
  <si>
    <t xml:space="preserve">Positive</t>
  </si>
  <si>
    <t xml:space="preserve">A Prefer-Near rule exists between two guests currently seated at different tables.</t>
  </si>
  <si>
    <t xml:space="preserve">1. Open the seating plan and locate the two guests.</t>
  </si>
  <si>
    <t xml:space="preserve">Their being apart is shown as a visible, non-blocking warning somewhere in the plan view. Nothing about the plan is blocked or prevented because of it.</t>
  </si>
  <si>
    <t xml:space="preserve">AC-004</t>
  </si>
  <si>
    <t xml:space="preserve">FR-1.1</t>
  </si>
  <si>
    <t xml:space="preserve">Account &amp; Wedding Management</t>
  </si>
  <si>
    <t xml:space="preserve">Create an account with multiple weddings</t>
  </si>
  <si>
    <t xml:space="preserve">No existing planner account.</t>
  </si>
  <si>
    <t xml:space="preserve">1. Create a new planner account.
2. Create a wedding named "Test Wedding A."
3. Create a second wedding named "Test Wedding B."</t>
  </si>
  <si>
    <t xml:space="preserve">Both weddings exist under the same account and can each be opened independently.</t>
  </si>
  <si>
    <t xml:space="preserve">AC-005</t>
  </si>
  <si>
    <t xml:space="preserve">FR-1.2</t>
  </si>
  <si>
    <t xml:space="preserve">Wedding data is fully isolated from other weddings on the same account</t>
  </si>
  <si>
    <t xml:space="preserve">One planner account owns Wedding A and Wedding B, each with at least one guest.</t>
  </si>
  <si>
    <t xml:space="preserve">1. Add a unique guest to Wedding A.
2. Open Wedding B and look through its guest list, rules, tables, and plan.</t>
  </si>
  <si>
    <t xml:space="preserve">The guest added to Wedding A does not appear anywhere in Wedding B.</t>
  </si>
  <si>
    <t xml:space="preserve">AC-006</t>
  </si>
  <si>
    <t xml:space="preserve">FR-1.3</t>
  </si>
  <si>
    <t xml:space="preserve">Enter and save basic wedding details</t>
  </si>
  <si>
    <t xml:space="preserve">Should</t>
  </si>
  <si>
    <t xml:space="preserve">A new wedding is being created.</t>
  </si>
  <si>
    <t xml:space="preserve">1. Enter couple's names, wedding date, and venue name.
2. Leave the optional note field blank and save.
3. Reopen the wedding.</t>
  </si>
  <si>
    <t xml:space="preserve">All entered fields are saved and redisplay correctly; the blank note field is accepted without error.</t>
  </si>
  <si>
    <t xml:space="preserve">AC-007</t>
  </si>
  <si>
    <t xml:space="preserve">FR-1.3a</t>
  </si>
  <si>
    <t xml:space="preserve">Custom side labels apply everywhere Side is shown</t>
  </si>
  <si>
    <t xml:space="preserve">A wedding exists with at least 3 guests using the default side labels.</t>
  </si>
  <si>
    <t xml:space="preserve">1. In wedding settings, rename the two side labels (e.g., to "Partner A" / "Partner B").
2. Open the guest list and the rules screen.</t>
  </si>
  <si>
    <t xml:space="preserve">Every place Side is shown now uses the new labels. No guest's side data is lost or reset.</t>
  </si>
  <si>
    <t xml:space="preserve">AC-008</t>
  </si>
  <si>
    <t xml:space="preserve">FR-1.4</t>
  </si>
  <si>
    <t xml:space="preserve">Invite a collaborator with a specific permission level</t>
  </si>
  <si>
    <t xml:space="preserve">A wedding exists.</t>
  </si>
  <si>
    <t xml:space="preserve">1. Invite an email address to the wedding with Comment-only permission.</t>
  </si>
  <si>
    <t xml:space="preserve">An invitation is sent. The person shows as "Invited" with Comment permission until they accept.</t>
  </si>
  <si>
    <t xml:space="preserve">AC-009</t>
  </si>
  <si>
    <t xml:space="preserve">FR-1.4a</t>
  </si>
  <si>
    <t xml:space="preserve">Invited person must authenticate before seeing any data</t>
  </si>
  <si>
    <t xml:space="preserve">An invitation email has been sent to a new user who has never logged in.</t>
  </si>
  <si>
    <t xml:space="preserve">1. Open the invitation link without signing in.
2. Inspect the invitation email itself.</t>
  </si>
  <si>
    <t xml:space="preserve">No wedding data is shown until the person signs in or creates an account. The email itself contains no guest data.</t>
  </si>
  <si>
    <t xml:space="preserve">AC-010</t>
  </si>
  <si>
    <t xml:space="preserve">FR-1.5</t>
  </si>
  <si>
    <t xml:space="preserve">Invited collaborator sees only the wedding(s) they were invited to</t>
  </si>
  <si>
    <t xml:space="preserve">Planner owns Wedding A and Wedding B. A collaborator is invited only to Wedding A.</t>
  </si>
  <si>
    <t xml:space="preserve">1. Log in as that collaborator.
2. Look for any way to view or discover Wedding B.</t>
  </si>
  <si>
    <t xml:space="preserve">Only Wedding A is visible. There is no list, link, or trace of Wedding B anywhere in the collaborator's view.</t>
  </si>
  <si>
    <t xml:space="preserve">AC-011</t>
  </si>
  <si>
    <t xml:space="preserve">FR-1.6</t>
  </si>
  <si>
    <t xml:space="preserve">Revoking access takes effect immediately</t>
  </si>
  <si>
    <t xml:space="preserve">A collaborator currently has access to a wedding.</t>
  </si>
  <si>
    <t xml:space="preserve">1. As the planner, revoke that collaborator's access.
2. As the collaborator, try to open the wedding again (including via a previously saved link).</t>
  </si>
  <si>
    <t xml:space="preserve">Access is denied immediately; the wedding is no longer visible or reachable by that person.</t>
  </si>
  <si>
    <t xml:space="preserve">AC-012</t>
  </si>
  <si>
    <t xml:space="preserve">FR-2.1</t>
  </si>
  <si>
    <t xml:space="preserve">Guest List Management</t>
  </si>
  <si>
    <t xml:space="preserve">Create a guest with only a name; defaults apply</t>
  </si>
  <si>
    <t xml:space="preserve">1. Add a new guest with only a full name entered; leave Side and Relationship Tier blank.
2. Save and reopen the guest record.</t>
  </si>
  <si>
    <t xml:space="preserve">Guest saves successfully. Side defaults to "Both" and Relationship Tier defaults to "Guest." Both fields can be edited afterward.</t>
  </si>
  <si>
    <t xml:space="preserve">AC-013</t>
  </si>
  <si>
    <t xml:space="preserve">FR-2.2</t>
  </si>
  <si>
    <t xml:space="preserve">Optional guest fields save correctly</t>
  </si>
  <si>
    <t xml:space="preserve">1. Add a guest with a plus-one indicator, a dietary note, an accessibility note, age category "Child," and a free-text note.</t>
  </si>
  <si>
    <t xml:space="preserve">All fields save and display correctly on the guest record.</t>
  </si>
  <si>
    <t xml:space="preserve">AC-014</t>
  </si>
  <si>
    <t xml:space="preserve">FR-2.2a</t>
  </si>
  <si>
    <t xml:space="preserve">Plus-one is created as its own record, even before their name is known</t>
  </si>
  <si>
    <t xml:space="preserve">An existing guest is being marked as bringing a plus-one.</t>
  </si>
  <si>
    <t xml:space="preserve">1. Mark the guest as bringing a plus-one before knowing their name; confirm a placeholder guest (e.g., "[Guest]'s Guest") is created in the same household.
2. Create a seating rule involving that placeholder.
3. Rename the placeholder to the real guest's name.</t>
  </si>
  <si>
    <t xml:space="preserve">The placeholder is a full, independent guest record from step 1. Renaming it in step 3 does not remove or break the rule created in step 2, or change any existing seat assignment.</t>
  </si>
  <si>
    <t xml:space="preserve">AC-015</t>
  </si>
  <si>
    <t xml:space="preserve">FR-2.3</t>
  </si>
  <si>
    <t xml:space="preserve">Add, edit, and remove a single guest</t>
  </si>
  <si>
    <t xml:space="preserve">1. Add a guest through the form.
2. Edit that guest's name.
3. Remove the guest.</t>
  </si>
  <si>
    <t xml:space="preserve">Each action succeeds and the guest list reflects it immediately.</t>
  </si>
  <si>
    <t xml:space="preserve">AC-016</t>
  </si>
  <si>
    <t xml:space="preserve">FR-2.4</t>
  </si>
  <si>
    <t xml:space="preserve">Bulk import reports per-row errors specifically</t>
  </si>
  <si>
    <t xml:space="preserve">A spreadsheet with 10 valid guest rows and 2 invalid rows (e.g., one missing a name) is ready to import.</t>
  </si>
  <si>
    <t xml:space="preserve">1. Import the spreadsheet, mapping columns to Seatwise fields.</t>
  </si>
  <si>
    <t xml:space="preserve">The 10 valid rows import successfully. The 2 invalid rows are each reported with a specific reason tied to that row (e.g., "row 4: missing name") — not one generic failure message.</t>
  </si>
  <si>
    <t xml:space="preserve">AC-017</t>
  </si>
  <si>
    <t xml:space="preserve">FR-2.4a</t>
  </si>
  <si>
    <t xml:space="preserve">Import preview shows new-vs-updated counts before anything is written</t>
  </si>
  <si>
    <t xml:space="preserve">An import spreadsheet has some rows matching existing guests by a mapped ID column, and some new rows.</t>
  </si>
  <si>
    <t xml:space="preserve">1. Start an import and map the matching-key column.
2. View the preview screen without confirming.
3. Cancel instead of confirming.</t>
  </si>
  <si>
    <t xml:space="preserve">The preview clearly shows counts of rows that will be added as new vs. rows that will update existing guests. Canceling in step 3 leaves the guest list completely unchanged.</t>
  </si>
  <si>
    <t xml:space="preserve">AC-018</t>
  </si>
  <si>
    <t xml:space="preserve">FR-2.5</t>
  </si>
  <si>
    <t xml:space="preserve">Household is a soft default; an explicit rule makes it hard</t>
  </si>
  <si>
    <t xml:space="preserve">Three guests are grouped into one household with no other rule.</t>
  </si>
  <si>
    <t xml:space="preserve">1. Manually move one household member to a different table; confirm it succeeds.
2. Add an explicit Must-Sit-Together rule for the same household.
3. Attempt the same move again.</t>
  </si>
  <si>
    <t xml:space="preserve">Step 1 succeeds (household grouping alone is only a soft preference). Step 3 is blocked, since the explicit rule makes it a hard rule.</t>
  </si>
  <si>
    <t xml:space="preserve">AC-019</t>
  </si>
  <si>
    <t xml:space="preserve">FR-2.6</t>
  </si>
  <si>
    <t xml:space="preserve">Search, filter, and sort the guest list</t>
  </si>
  <si>
    <t xml:space="preserve">A guest list with guests on both sides, multiple tiers, and some unassigned.</t>
  </si>
  <si>
    <t xml:space="preserve">1. Search by a guest's name.
2. Filter by side.
3. Filter by "unassigned."
4. Sort by relationship tier.</t>
  </si>
  <si>
    <t xml:space="preserve">Each operation returns the correct, expected result set or order.</t>
  </si>
  <si>
    <t xml:space="preserve">AC-020</t>
  </si>
  <si>
    <t xml:space="preserve">FR-2.7</t>
  </si>
  <si>
    <t xml:space="preserve">Unseated guests are surfaced prominently</t>
  </si>
  <si>
    <t xml:space="preserve">A guest exists who has not been assigned to a table.</t>
  </si>
  <si>
    <t xml:space="preserve">1. View the guest list.</t>
  </si>
  <si>
    <t xml:space="preserve">The unseated guest is clearly marked, and unseated guests overall are easy to find (e.g., a dedicated filter, count, or highlighted section).</t>
  </si>
  <si>
    <t xml:space="preserve">AC-021</t>
  </si>
  <si>
    <t xml:space="preserve">FR-2.8</t>
  </si>
  <si>
    <t xml:space="preserve">Guests with the same name are visually disambiguated everywhere</t>
  </si>
  <si>
    <t xml:space="preserve">Two different guests are both named "John Smith," from different households.</t>
  </si>
  <si>
    <t xml:space="preserve">1. Search the guest list for "John Smith."
2. Open a rule-creation screen and search for "John Smith" there.</t>
  </si>
  <si>
    <t xml:space="preserve">Both guests appear as distinct entries in both places, each showing distinguishing information (e.g., household or side) alongside the name.</t>
  </si>
  <si>
    <t xml:space="preserve">AC-022</t>
  </si>
  <si>
    <t xml:space="preserve">FR-2.9</t>
  </si>
  <si>
    <t xml:space="preserve">Editing a guest re-checks their existing seat against hard rules</t>
  </si>
  <si>
    <t xml:space="preserve">A guest is seated at a table with someone who is not currently subject to any rule.</t>
  </si>
  <si>
    <t xml:space="preserve">1. Edit the guest's household to one that has a Must-Not-Sit-Together rule against their current tablemate.</t>
  </si>
  <si>
    <t xml:space="preserve">The guest is flagged as needing reassignment. No hard-rule violation is left silently in place.</t>
  </si>
  <si>
    <t xml:space="preserve">AC-023</t>
  </si>
  <si>
    <t xml:space="preserve">FR-3.1</t>
  </si>
  <si>
    <t xml:space="preserve">Relationships &amp; Seating Rules</t>
  </si>
  <si>
    <t xml:space="preserve">Must-Sit-Together is enforced by both generation and manual editing</t>
  </si>
  <si>
    <t xml:space="preserve">Two guests exist with no table assignment yet.</t>
  </si>
  <si>
    <t xml:space="preserve">1. Create a Must-Sit-Together rule linking them.
2. Run auto-generation.
3. Attempt to manually move one of them away from the other.</t>
  </si>
  <si>
    <t xml:space="preserve">Generation always seats both at the same table. The manual move in step 3 is blocked.</t>
  </si>
  <si>
    <t xml:space="preserve">AC-024</t>
  </si>
  <si>
    <t xml:space="preserve">FR-3.2</t>
  </si>
  <si>
    <t xml:space="preserve">Must-Not-Sit-Together is enforced by both generation and manual editing</t>
  </si>
  <si>
    <t xml:space="preserve">1. Create a Must-Not-Sit-Together rule linking them.
2. Run auto-generation.
3. Attempt to manually seat them at the same table.</t>
  </si>
  <si>
    <t xml:space="preserve">Generation never seats them together. The manual move in step 3 is blocked.</t>
  </si>
  <si>
    <t xml:space="preserve">AC-025</t>
  </si>
  <si>
    <t xml:space="preserve">FR-3.3</t>
  </si>
  <si>
    <t xml:space="preserve">Prefer-Near / Prefer-Avoid influence generation but never block a manual move</t>
  </si>
  <si>
    <t xml:space="preserve">Two guest pairs exist, unassigned.</t>
  </si>
  <si>
    <t xml:space="preserve">1. Create a Prefer-Near rule for pair 1 and a Prefer-Avoid rule for pair 2.
2. Run auto-generation.
3. Manually move a guest in a way that works against one of these rules.</t>
  </si>
  <si>
    <t xml:space="preserve">Generation favors satisfying both rules where possible. The manual move in step 3 is allowed, with a visible warning rather than being blocked.</t>
  </si>
  <si>
    <t xml:space="preserve">AC-026</t>
  </si>
  <si>
    <t xml:space="preserve">FR-3.4</t>
  </si>
  <si>
    <t xml:space="preserve">Side-Mixing levels change generation behavior; a table can override</t>
  </si>
  <si>
    <t xml:space="preserve">A guest list with a roughly even split across both sides.</t>
  </si>
  <si>
    <t xml:space="preserve">1. Set Side-Mixing to "Keep sides separate" and generate; note the table composition.
2. Change to "Fully mixed" and regenerate; note the composition.
3. Mark one specific table "single-side only" and regenerate again.</t>
  </si>
  <si>
    <t xml:space="preserve">Step 1 shows tables noticeably grouped by side. Step 2 shows tables noticeably blended. Step 3's marked table stays single-side regardless of the wedding-level setting.</t>
  </si>
  <si>
    <t xml:space="preserve">AC-027</t>
  </si>
  <si>
    <t xml:space="preserve">FR-3.5</t>
  </si>
  <si>
    <t xml:space="preserve">Creating a hard rule that contradicts an existing hard rule is blocked</t>
  </si>
  <si>
    <t xml:space="preserve">A Must-Sit-Together rule already exists between Guest A and Guest B.</t>
  </si>
  <si>
    <t xml:space="preserve">1. Attempt to create a Must-Not-Sit-Together rule between the same Guest A and Guest B.</t>
  </si>
  <si>
    <t xml:space="preserve">Creation is blocked. A plain-language message names the earlier, conflicting Must-Sit-Together rule. The contradictory rule is not saved.</t>
  </si>
  <si>
    <t xml:space="preserve">AC-028</t>
  </si>
  <si>
    <t xml:space="preserve">FR-3.5a</t>
  </si>
  <si>
    <t xml:space="preserve">A soft-rule contradiction is allowed but flagged</t>
  </si>
  <si>
    <t xml:space="preserve">Guests C and D exist with no rules between them.</t>
  </si>
  <si>
    <t xml:space="preserve">1. Create a Prefer-Near rule between C and D.
2. Create a Prefer-Avoid rule between the same C and D.</t>
  </si>
  <si>
    <t xml:space="preserve">Both rules save successfully. A visible warning appears on both rules, including wherever rules are listed.</t>
  </si>
  <si>
    <t xml:space="preserve">AC-029</t>
  </si>
  <si>
    <t xml:space="preserve">FR-3.6</t>
  </si>
  <si>
    <t xml:space="preserve">All rules are visible and manageable from one dedicated list</t>
  </si>
  <si>
    <t xml:space="preserve">Several rules of different types exist across different guests.</t>
  </si>
  <si>
    <t xml:space="preserve">1. Open the dedicated rules list.</t>
  </si>
  <si>
    <t xml:space="preserve">Every rule created anywhere in the wedding appears in this one list and can be edited or removed from it directly.</t>
  </si>
  <si>
    <t xml:space="preserve">AC-030</t>
  </si>
  <si>
    <t xml:space="preserve">FR-3.7</t>
  </si>
  <si>
    <t xml:space="preserve">A Purpose table is a soft suggestion, not a hard cap</t>
  </si>
  <si>
    <t xml:space="preserve">More child guests exist than a "Kids' Table" has capacity for.</t>
  </si>
  <si>
    <t xml:space="preserve">1. Label a table "Kids' Table" (Purpose, not Restricted).
2. Run auto-generation.</t>
  </si>
  <si>
    <t xml:space="preserve">The table favors seating children there, but overflow children are seated elsewhere rather than the generation failing or the table exceeding capacity.</t>
  </si>
  <si>
    <t xml:space="preserve">AC-031</t>
  </si>
  <si>
    <t xml:space="preserve">FR-3.7a</t>
  </si>
  <si>
    <t xml:space="preserve">A Restricted table only ever holds its explicitly listed guests</t>
  </si>
  <si>
    <t xml:space="preserve">A table is marked Restricted with an explicit list of exactly 2 guests.</t>
  </si>
  <si>
    <t xml:space="preserve">1. Run auto-generation.
2. Attempt to manually add a third guest, who is not on the list, to that table.</t>
  </si>
  <si>
    <t xml:space="preserve">Generation seats only the 2 listed guests at that table (never anyone else). The manual add in step 2 is blocked.</t>
  </si>
  <si>
    <t xml:space="preserve">AC-032</t>
  </si>
  <si>
    <t xml:space="preserve">FR-3.8</t>
  </si>
  <si>
    <t xml:space="preserve">Accessible-seating requirement is enforced as a hard rule</t>
  </si>
  <si>
    <t xml:space="preserve">One guest is flagged as requiring accessible seating. Only one table is marked Accessible.</t>
  </si>
  <si>
    <t xml:space="preserve">1. Run auto-generation.
2. Attempt to manually move that guest to a table not marked Accessible.</t>
  </si>
  <si>
    <t xml:space="preserve">Generation always seats the guest at the Accessible table. The manual move in step 2 is blocked.</t>
  </si>
  <si>
    <t xml:space="preserve">AC-033</t>
  </si>
  <si>
    <t xml:space="preserve">FR-4.1</t>
  </si>
  <si>
    <t xml:space="preserve">Table &amp; Venue Layout</t>
  </si>
  <si>
    <t xml:space="preserve">Tables can be defined with each shape option and a capacity</t>
  </si>
  <si>
    <t xml:space="preserve">A wedding exists with no tables yet.</t>
  </si>
  <si>
    <t xml:space="preserve">1. Create one table of each shape option, including "Other" with a custom free-text label.
2. Set a seat capacity on each.</t>
  </si>
  <si>
    <t xml:space="preserve">All tables save with their shape and capacity. Shape only changes how the table is drawn on the floor plan; it has no effect on seating behavior.</t>
  </si>
  <si>
    <t xml:space="preserve">AC-034</t>
  </si>
  <si>
    <t xml:space="preserve">FR-4.2</t>
  </si>
  <si>
    <t xml:space="preserve">A standard set of tables can be created in one action</t>
  </si>
  <si>
    <t xml:space="preserve">1. Use the quick-create option to generate "12 round tables of 8."</t>
  </si>
  <si>
    <t xml:space="preserve">12 tables are created in a single action, each with capacity 8, with no need to add them one at a time.</t>
  </si>
  <si>
    <t xml:space="preserve">AC-035</t>
  </si>
  <si>
    <t xml:space="preserve">FR-4.3</t>
  </si>
  <si>
    <t xml:space="preserve">The floor plan is fully optional</t>
  </si>
  <si>
    <t xml:space="preserve">A wedding is fully set up (guests, rules, tables).</t>
  </si>
  <si>
    <t xml:space="preserve">1. Complete a full generate-review-approve cycle without ever opening the floor plan view.
2. Separately, open the floor plan and drag a table to a new position.</t>
  </si>
  <si>
    <t xml:space="preserve">The entire workflow in step 1 works with no floor-plan use at all. The floor plan in step 2 successfully repositions the table.</t>
  </si>
  <si>
    <t xml:space="preserve">AC-036</t>
  </si>
  <si>
    <t xml:space="preserve">FR-4.4</t>
  </si>
  <si>
    <t xml:space="preserve">Table capacity is enforced in both manual editing and generation</t>
  </si>
  <si>
    <t xml:space="preserve">One table is filled to its exact stated capacity. Total guests across the wedding exceed total seats.</t>
  </si>
  <si>
    <t xml:space="preserve">1. Attempt to manually add one more guest to the full table.
2. Run auto-generation with more guests than total seats available.</t>
  </si>
  <si>
    <t xml:space="preserve">Step 1 is blocked. Step 2 does not overfill any table — it is reported as impossible per FR-5.2, not silently forced.</t>
  </si>
  <si>
    <t xml:space="preserve">AC-037</t>
  </si>
  <si>
    <t xml:space="preserve">FR-4.5</t>
  </si>
  <si>
    <t xml:space="preserve">Seats-vs-guests shortfall is shown clearly</t>
  </si>
  <si>
    <t xml:space="preserve">Total guests exceed total available seats.</t>
  </si>
  <si>
    <t xml:space="preserve">1. View the wedding overview/summary.
2. Add enough seats (or remove guests) so seats are now sufficient, and view the overview again.</t>
  </si>
  <si>
    <t xml:space="preserve">Step 1 shows a clear warning about the shortfall. Step 2 shows no warning once seats are sufficient.</t>
  </si>
  <si>
    <t xml:space="preserve">AC-038</t>
  </si>
  <si>
    <t xml:space="preserve">FR-4.6</t>
  </si>
  <si>
    <t xml:space="preserve">A table can be marked Accessible and the flag is visible</t>
  </si>
  <si>
    <t xml:space="preserve">A table exists.</t>
  </si>
  <si>
    <t xml:space="preserve">1. Mark the table Accessible.
2. View the table's details, then toggle the flag off.</t>
  </si>
  <si>
    <t xml:space="preserve">The Accessible flag saves, displays clearly on the table, and can be toggled off again.</t>
  </si>
  <si>
    <t xml:space="preserve">AC-039</t>
  </si>
  <si>
    <t xml:space="preserve">FR-4.7</t>
  </si>
  <si>
    <t xml:space="preserve">No feature exists for assigning a specific chair/seat number</t>
  </si>
  <si>
    <t xml:space="preserve">Any wedding with tables and seated guests.</t>
  </si>
  <si>
    <t xml:space="preserve">1. Look for any control, anywhere in the product, for assigning a guest to a specific numbered seat within a table.</t>
  </si>
  <si>
    <t xml:space="preserve">No such control exists. Assignment is always guest-to-table only.</t>
  </si>
  <si>
    <t xml:space="preserve">AC-040</t>
  </si>
  <si>
    <t xml:space="preserve">FR-5.1</t>
  </si>
  <si>
    <t xml:space="preserve">Automated Seat Assignment Engine</t>
  </si>
  <si>
    <t xml:space="preserve">One action produces a complete first-draft plan</t>
  </si>
  <si>
    <t xml:space="preserve">A wedding has a complete guest list, tables, and rules with no contradictions.</t>
  </si>
  <si>
    <t xml:space="preserve">1. Click Generate.</t>
  </si>
  <si>
    <t xml:space="preserve">Every guest is assigned to exactly one table in a single action.</t>
  </si>
  <si>
    <t xml:space="preserve">AC-041</t>
  </si>
  <si>
    <t xml:space="preserve">FR-5.2 / 10.2</t>
  </si>
  <si>
    <t xml:space="preserve">An impossible hard-rule set is reported, never silently forced</t>
  </si>
  <si>
    <t xml:space="preserve">A Must-Sit-Together group is larger than the capacity of any single table in the wedding.</t>
  </si>
  <si>
    <t xml:space="preserve">1. Run auto-generation.</t>
  </si>
  <si>
    <t xml:space="preserve">No plan is produced. A report names exactly which guests/rules could not be placed and why. No partial or rule-violating plan is saved or displayed.</t>
  </si>
  <si>
    <t xml:space="preserve">AC-042</t>
  </si>
  <si>
    <t xml:space="preserve">FR-5.3</t>
  </si>
  <si>
    <t xml:space="preserve">Generation reports how well soft preferences were satisfied</t>
  </si>
  <si>
    <t xml:space="preserve">A normal, fully satisfiable wedding setup with some Prefer-Near rules.</t>
  </si>
  <si>
    <t xml:space="preserve">A summary is shown of how well soft preferences were satisfied (e.g., a percentage of Prefer-Near requests honored).</t>
  </si>
  <si>
    <t xml:space="preserve">AC-043</t>
  </si>
  <si>
    <t xml:space="preserve">FR-5.4</t>
  </si>
  <si>
    <t xml:space="preserve">Generation can be re-run repeatedly</t>
  </si>
  <si>
    <t xml:space="preserve">A plan has already been generated once.</t>
  </si>
  <si>
    <t xml:space="preserve">1. Change a rule.
2. Regenerate.
3. Regenerate again with no changes.</t>
  </si>
  <si>
    <t xml:space="preserve">Each regeneration produces a new, retrievable draft reflecting the current inputs at that time.</t>
  </si>
  <si>
    <t xml:space="preserve">AC-044</t>
  </si>
  <si>
    <t xml:space="preserve">FR-5.5 / 10.3</t>
  </si>
  <si>
    <t xml:space="preserve">Locking preserves placements and avoids needless reshuffling</t>
  </si>
  <si>
    <t xml:space="preserve">An existing generated plan with several tables filled.</t>
  </si>
  <si>
    <t xml:space="preserve">1. Lock 2 tables.
2. Add one new guest.
3. Regenerate.</t>
  </si>
  <si>
    <t xml:space="preserve">Guests at the 2 locked tables are completely unchanged. Guests at unlocked tables who were unaffected by the new guest also remain largely unchanged. The new guest is placed appropriately.</t>
  </si>
  <si>
    <t xml:space="preserve">AC-045</t>
  </si>
  <si>
    <t xml:space="preserve">FR-5.6</t>
  </si>
  <si>
    <t xml:space="preserve">Each generation run is saved as a distinct, retrievable version</t>
  </si>
  <si>
    <t xml:space="preserve">A wedding ready for generation.</t>
  </si>
  <si>
    <t xml:space="preserve">1. Generate.
2. Make a small change.
3. Generate again.
4. Open version history.</t>
  </si>
  <si>
    <t xml:space="preserve">Two distinct versions exist in history, each individually retrievable.</t>
  </si>
  <si>
    <t xml:space="preserve">AC-046</t>
  </si>
  <si>
    <t xml:space="preserve">FR-5.1 / 9.1</t>
  </si>
  <si>
    <t xml:space="preserve">Generation completes within the performance target at typical scale</t>
  </si>
  <si>
    <t xml:space="preserve">Performance</t>
  </si>
  <si>
    <t xml:space="preserve">A wedding with 300 guests and 40 tables, satisfiable rule set.</t>
  </si>
  <si>
    <t xml:space="preserve">1. Run auto-generation and time it from click to completed plan.</t>
  </si>
  <si>
    <t xml:space="preserve">Generation completes in under 15 seconds.</t>
  </si>
  <si>
    <t xml:space="preserve">AC-047</t>
  </si>
  <si>
    <t xml:space="preserve">FR-6.1</t>
  </si>
  <si>
    <t xml:space="preserve">Review &amp; Approval</t>
  </si>
  <si>
    <t xml:space="preserve">Both a visual layout and a list view are available and consistent</t>
  </si>
  <si>
    <t xml:space="preserve">A generated plan exists.</t>
  </si>
  <si>
    <t xml:space="preserve">1. Open the visual, table-by-table layout view.
2. Switch to the guest-to-table list view.</t>
  </si>
  <si>
    <t xml:space="preserve">Both views are available and show the same, consistent assignment data.</t>
  </si>
  <si>
    <t xml:space="preserve">AC-048</t>
  </si>
  <si>
    <t xml:space="preserve">FR-6.2</t>
  </si>
  <si>
    <t xml:space="preserve">Sharing respects each person's permission level</t>
  </si>
  <si>
    <t xml:space="preserve">A plan exists. One collaborator has View-only permission, another has Edit permission.</t>
  </si>
  <si>
    <t xml:space="preserve">1. Share the plan; have the View-only collaborator open it and attempt to move a guest.
2. Have the Edit collaborator open it and move a guest.</t>
  </si>
  <si>
    <t xml:space="preserve">The View-only collaborator cannot make the move in step 1. The Edit collaborator's move in step 2 succeeds.</t>
  </si>
  <si>
    <t xml:space="preserve">AC-049</t>
  </si>
  <si>
    <t xml:space="preserve">FR-6.3</t>
  </si>
  <si>
    <t xml:space="preserve">Comments can be left on a table or on a specific guest's placement</t>
  </si>
  <si>
    <t xml:space="preserve">A plan is shared with a collaborator who has Comment permission.</t>
  </si>
  <si>
    <t xml:space="preserve">1. Leave a comment on a specific table.
2. Leave a comment on a specific guest's placement.</t>
  </si>
  <si>
    <t xml:space="preserve">Both comments save, are attributed to the commenter, and are visible to everyone with access.</t>
  </si>
  <si>
    <t xml:space="preserve">AC-050</t>
  </si>
  <si>
    <t xml:space="preserve">FR-6.4</t>
  </si>
  <si>
    <t xml:space="preserve">Only the Planner/Owner or Couple can mark a plan Approved</t>
  </si>
  <si>
    <t xml:space="preserve">A plan is in Draft status. A Collaborator (not Planner, not Couple) has Edit permission.</t>
  </si>
  <si>
    <t xml:space="preserve">1. As the Collaborator, move the plan from Draft to In Review.
2. As the same Collaborator, attempt to mark the plan Approved.
3. As the Planner, mark the plan Approved.</t>
  </si>
  <si>
    <t xml:space="preserve">Step 1 succeeds. Step 2 is not permitted — no Approve action is available or it is blocked. Step 3 succeeds.</t>
  </si>
  <si>
    <t xml:space="preserve">AC-051</t>
  </si>
  <si>
    <t xml:space="preserve">FR-6.5</t>
  </si>
  <si>
    <t xml:space="preserve">Approving a plan does not prevent further edits</t>
  </si>
  <si>
    <t xml:space="preserve">A plan is Approved.</t>
  </si>
  <si>
    <t xml:space="preserve">1. Make a manual edit to the approved plan.</t>
  </si>
  <si>
    <t xml:space="preserve">The edit is allowed and takes effect; approval did not lock or freeze the plan.</t>
  </si>
  <si>
    <t xml:space="preserve">AC-052</t>
  </si>
  <si>
    <t xml:space="preserve">FR-6.6</t>
  </si>
  <si>
    <t xml:space="preserve">Editing an approved plan shows a Modified-since-approval indicator</t>
  </si>
  <si>
    <t xml:space="preserve">1. Make an edit.
2. View the plan's status area.</t>
  </si>
  <si>
    <t xml:space="preserve">Status still reads Approved. A "Modified since approval" indicator appears with a timestamp and the editor's name. No re-approval step was required for the edit to take effect.</t>
  </si>
  <si>
    <t xml:space="preserve">AC-053</t>
  </si>
  <si>
    <t xml:space="preserve">FR-7.1</t>
  </si>
  <si>
    <t xml:space="preserve">Manual Adjustment</t>
  </si>
  <si>
    <t xml:space="preserve">A guest can be dragged from one table to another</t>
  </si>
  <si>
    <t xml:space="preserve">A plan exists with a guest at Table 1 and no rule conflicts with Table 2.</t>
  </si>
  <si>
    <t xml:space="preserve">1. Drag the guest from Table 1 to Table 2 in the visual view.</t>
  </si>
  <si>
    <t xml:space="preserve">The guest moves successfully and the change is reflected immediately in both the visual and list views.</t>
  </si>
  <si>
    <t xml:space="preserve">AC-054</t>
  </si>
  <si>
    <t xml:space="preserve">FR-7.2</t>
  </si>
  <si>
    <t xml:space="preserve">Every kind of hard-rule-breaking move is blocked outright, with no override</t>
  </si>
  <si>
    <t xml:space="preserve">A wedding has: a full table, a Must-Sit-Together group, a Must-Not-Sit-Together pair, a Restricted table, and an accessible-seating guest.</t>
  </si>
  <si>
    <t xml:space="preserve">Attempt, one at a time: (1) exceed a table's capacity; (2) split a Must-Sit-Together group; (3) combine a Must-Not-Sit-Together pair; (4) add a non-listed guest to a Restricted table; (5) move an accessible-seating guest off the Accessible table.</t>
  </si>
  <si>
    <t xml:space="preserve">All five attempts are blocked, each with a plain-language explanation naming the specific rule and guests. None offers an override option.</t>
  </si>
  <si>
    <t xml:space="preserve">AC-055</t>
  </si>
  <si>
    <t xml:space="preserve">FR-7.3</t>
  </si>
  <si>
    <t xml:space="preserve">A soft-rule-breaking move is allowed with a warning</t>
  </si>
  <si>
    <t xml:space="preserve">A Prefer-Near rule links two guests seated together.</t>
  </si>
  <si>
    <t xml:space="preserve">1. Manually move one of them away from the other.</t>
  </si>
  <si>
    <t xml:space="preserve">The move succeeds. A visible, non-blocking warning is shown.</t>
  </si>
  <si>
    <t xml:space="preserve">AC-056</t>
  </si>
  <si>
    <t xml:space="preserve">FR-7.4</t>
  </si>
  <si>
    <t xml:space="preserve">Locking protects a guest from auto-generation but not from manual edits</t>
  </si>
  <si>
    <t xml:space="preserve">1. Lock one guest.
2. Regenerate the plan.
3. Manually move the locked guest.</t>
  </si>
  <si>
    <t xml:space="preserve">The locked guest is unchanged after step 2's regeneration. The manual move in step 3 still succeeds.</t>
  </si>
  <si>
    <t xml:space="preserve">AC-057</t>
  </si>
  <si>
    <t xml:space="preserve">FR-7.5</t>
  </si>
  <si>
    <t xml:space="preserve">Manual edits support undo and redo</t>
  </si>
  <si>
    <t xml:space="preserve">A plan exists.</t>
  </si>
  <si>
    <t xml:space="preserve">1. Manually move a guest.
2. Undo.
3. Redo.</t>
  </si>
  <si>
    <t xml:space="preserve">Undo reverts the move exactly; redo reapplies it exactly.</t>
  </si>
  <si>
    <t xml:space="preserve">AC-058</t>
  </si>
  <si>
    <t xml:space="preserve">FR-7.6</t>
  </si>
  <si>
    <t xml:space="preserve">Every manual edit is recorded with who and when</t>
  </si>
  <si>
    <t xml:space="preserve">1. Make a manual edit.
2. Open the plan's change history.</t>
  </si>
  <si>
    <t xml:space="preserve">The edit appears in the history with the correct user and timestamp.</t>
  </si>
  <si>
    <t xml:space="preserve">AC-059</t>
  </si>
  <si>
    <t xml:space="preserve">FR-7.7</t>
  </si>
  <si>
    <t xml:space="preserve">Concurrent edits by two users don't silently overwrite each other</t>
  </si>
  <si>
    <t xml:space="preserve">Two users with Edit permission have the same plan open at the same time.</t>
  </si>
  <si>
    <t xml:space="preserve">1. User A moves Guest X to Table 3.
2. Confirm User B's screen reflects that move within 5 seconds without a manual refresh.
3. Without refreshing, have User B attempt to move Guest X (already moved by A) somewhere else, based on B's stale view.</t>
  </si>
  <si>
    <t xml:space="preserve">Step 2's update appears within 5 seconds. Step 3 does not silently overwrite A's change — B is shown the current state and asked to retry.</t>
  </si>
  <si>
    <t xml:space="preserve">AC-060</t>
  </si>
  <si>
    <t xml:space="preserve">FR-8.1</t>
  </si>
  <si>
    <t xml:space="preserve">Day-Of / Emergency Mode</t>
  </si>
  <si>
    <t xml:space="preserve">Marking a guest Not Attending frees their seat without a full regeneration</t>
  </si>
  <si>
    <t xml:space="preserve">A guest is seated and linked to another guest by a rule.</t>
  </si>
  <si>
    <t xml:space="preserve">1. Mark the guest Not Attending.</t>
  </si>
  <si>
    <t xml:space="preserve">Their seat becomes available immediately. No full regeneration is triggered. Any linked rule is re-evaluated.</t>
  </si>
  <si>
    <t xml:space="preserve">AC-061</t>
  </si>
  <si>
    <t xml:space="preserve">FR-8.2</t>
  </si>
  <si>
    <t xml:space="preserve">A walk-in guest can be added and seated without a full regeneration</t>
  </si>
  <si>
    <t xml:space="preserve">Day-of mode is open with at least one open seat.</t>
  </si>
  <si>
    <t xml:space="preserve">1. Add a new walk-in guest and assign them an open seat.
2. Attempt to assign a different walk-in to a seat that would break a hard rule.</t>
  </si>
  <si>
    <t xml:space="preserve">Step 1 succeeds without triggering a full regeneration. Step 2 is blocked, same as any other hard-rule-breaking move.</t>
  </si>
  <si>
    <t xml:space="preserve">AC-062</t>
  </si>
  <si>
    <t xml:space="preserve">FR-8.3</t>
  </si>
  <si>
    <t xml:space="preserve">Two guests' seats can be swapped in one action</t>
  </si>
  <si>
    <t xml:space="preserve">Two seated guests with no rule conflict between their tables; a second pair whose swap would break a hard rule.</t>
  </si>
  <si>
    <t xml:space="preserve">1. Swap the first pair's seats.
2. Attempt to swap the second pair.</t>
  </si>
  <si>
    <t xml:space="preserve">Step 1 completes in a single action. Step 2 is blocked with the same protection as FR-7.2.</t>
  </si>
  <si>
    <t xml:space="preserve">AC-063</t>
  </si>
  <si>
    <t xml:space="preserve">FR-8.4</t>
  </si>
  <si>
    <t xml:space="preserve">Day-of mode is usable and meets touch-target size on a phone</t>
  </si>
  <si>
    <t xml:space="preserve">Accessibility</t>
  </si>
  <si>
    <t xml:space="preserve">Day-of mode is opened on a phone-sized screen.</t>
  </si>
  <si>
    <t xml:space="preserve">1. Use guest search.
2. View at-a-glance table occupancy.
3. Measure the interactive controls' touch target size.</t>
  </si>
  <si>
    <t xml:space="preserve">Guest search and table occupancy are present and usable one-handed. No touch target is smaller than 44×44 CSS pixels.</t>
  </si>
  <si>
    <t xml:space="preserve">AC-064</t>
  </si>
  <si>
    <t xml:space="preserve">FR-8.5</t>
  </si>
  <si>
    <t xml:space="preserve">Day-of changes appear in the same history as any other edit</t>
  </si>
  <si>
    <t xml:space="preserve">Day-of mode is in use.</t>
  </si>
  <si>
    <t xml:space="preserve">1. Mark a guest a no-show.
2. Add a walk-in.
3. Open version/change history.</t>
  </si>
  <si>
    <t xml:space="preserve">Both day-of changes appear in the same history as regular edits, with who made them and when.</t>
  </si>
  <si>
    <t xml:space="preserve">AC-065</t>
  </si>
  <si>
    <t xml:space="preserve">FR-9.1</t>
  </si>
  <si>
    <t xml:space="preserve">Export &amp; Print</t>
  </si>
  <si>
    <t xml:space="preserve">Full seating chart exports as a PDF</t>
  </si>
  <si>
    <t xml:space="preserve">An approved plan exists.</t>
  </si>
  <si>
    <t xml:space="preserve">1. Export the full seating chart.</t>
  </si>
  <si>
    <t xml:space="preserve">A PDF is produced showing every table with its guests' names.</t>
  </si>
  <si>
    <t xml:space="preserve">AC-066</t>
  </si>
  <si>
    <t xml:space="preserve">FR-9.2</t>
  </si>
  <si>
    <t xml:space="preserve">Alphabetical guest-to-table lookup exports as a PDF</t>
  </si>
  <si>
    <t xml:space="preserve">1. Export the alphabetical lookup list.</t>
  </si>
  <si>
    <t xml:space="preserve">A PDF lists every guest alphabetically with their assigned table.</t>
  </si>
  <si>
    <t xml:space="preserve">AC-067</t>
  </si>
  <si>
    <t xml:space="preserve">FR-9.3</t>
  </si>
  <si>
    <t xml:space="preserve">Place/escort cards export in a print-ready layout</t>
  </si>
  <si>
    <t xml:space="preserve">1. Export place cards.</t>
  </si>
  <si>
    <t xml:space="preserve">One print-ready card per guest is produced, each showing the guest's name and table.</t>
  </si>
  <si>
    <t xml:space="preserve">AC-068</t>
  </si>
  <si>
    <t xml:space="preserve">FR-9.4</t>
  </si>
  <si>
    <t xml:space="preserve">Restoring a prior version is non-destructive</t>
  </si>
  <si>
    <t xml:space="preserve">A plan has at least 5 saved versions (v1–v5).</t>
  </si>
  <si>
    <t xml:space="preserve">1. Restore version v2.
2. Open version history.</t>
  </si>
  <si>
    <t xml:space="preserve">A new version (v6) is created that copies v2's assignments. Versions v3, v4, and v5 are still present in history, not deleted.</t>
  </si>
  <si>
    <t xml:space="preserve">AC-069</t>
  </si>
  <si>
    <t xml:space="preserve">FR-10.1</t>
  </si>
  <si>
    <t xml:space="preserve">Collaboration &amp; Notifications</t>
  </si>
  <si>
    <t xml:space="preserve">An activity log shows recent changes to anyone with access</t>
  </si>
  <si>
    <t xml:space="preserve">Several changes have been made by different users.</t>
  </si>
  <si>
    <t xml:space="preserve">1. View the activity log.</t>
  </si>
  <si>
    <t xml:space="preserve">A chronological log of recent changes is visible, correctly attributed.</t>
  </si>
  <si>
    <t xml:space="preserve">AC-070</t>
  </si>
  <si>
    <t xml:space="preserve">FR-10.2</t>
  </si>
  <si>
    <t xml:space="preserve">Defined notification triggers fire correctly</t>
  </si>
  <si>
    <t xml:space="preserve">A plan exists and is not yet Approved.</t>
  </si>
  <si>
    <t xml:space="preserve">1. Share the plan for review; confirm the collaborator is notified.
2. Reply to a collaborator's comment; confirm they are notified.
3. Approve the plan, then change a guest's table; confirm collaborators are notified.</t>
  </si>
  <si>
    <t xml:space="preserve">Each of the three defined triggers produces a notification (in-app, and by email if enabled) to the relevant collaborators.</t>
  </si>
  <si>
    <t xml:space="preserve">AC-071</t>
  </si>
  <si>
    <t xml:space="preserve">FR-10.3</t>
  </si>
  <si>
    <t xml:space="preserve">Comment resolution is permission-gated and attributed</t>
  </si>
  <si>
    <t xml:space="preserve">A comment thread exists. One user has View-only permission; another has Edit permission but did not write the comment.</t>
  </si>
  <si>
    <t xml:space="preserve">1. Resolve the comment as the original commenter.
2. Resolve a different comment as the Edit-permission user who did not write it.
3. Attempt to resolve a comment as the View-only user.</t>
  </si>
  <si>
    <t xml:space="preserve">Steps 1 and 2 succeed and show who resolved the comment and when. Step 3 is not permitted.</t>
  </si>
  <si>
    <t xml:space="preserve">AC-072</t>
  </si>
  <si>
    <t xml:space="preserve">NFR 9.1</t>
  </si>
  <si>
    <t xml:space="preserve">Non-Functional: Performance</t>
  </si>
  <si>
    <t xml:space="preserve">Generation stays within target at the upper bound of scale</t>
  </si>
  <si>
    <t xml:space="preserve">A wedding with 500 guests and tables sufficient to seat them.</t>
  </si>
  <si>
    <t xml:space="preserve">1. Run auto-generation and time it.</t>
  </si>
  <si>
    <t xml:space="preserve">Generation completes in under 60 seconds.</t>
  </si>
  <si>
    <t xml:space="preserve">AC-073</t>
  </si>
  <si>
    <t xml:space="preserve">Manual edits respond in under a second</t>
  </si>
  <si>
    <t xml:space="preserve">A plan is open for editing.</t>
  </si>
  <si>
    <t xml:space="preserve">1. Drag a guest to a new table and time until the UI updates, including hard-rule validation.
2. Apply a new rule and time the update.</t>
  </si>
  <si>
    <t xml:space="preserve">Both actions reflect in the UI in under 1 second.</t>
  </si>
  <si>
    <t xml:space="preserve">AC-074</t>
  </si>
  <si>
    <t xml:space="preserve">NFR 9.2</t>
  </si>
  <si>
    <t xml:space="preserve">Non-Functional: Usability</t>
  </si>
  <si>
    <t xml:space="preserve">A person unfamiliar with the app can use review and day-of mode unaided</t>
  </si>
  <si>
    <t xml:space="preserve">A person who has never used Seatwise before, and no training is given.</t>
  </si>
  <si>
    <t xml:space="preserve">1. Ask them to find a specific guest's assigned table in the review view.
2. Trigger a blocked action and ask them to explain, in their own words, why it was blocked.</t>
  </si>
  <si>
    <t xml:space="preserve">They complete both tasks correctly without help from anyone familiar with the app.</t>
  </si>
  <si>
    <t xml:space="preserve">AC-075</t>
  </si>
  <si>
    <t xml:space="preserve">Every blocked action names the specific rule and guests, never a generic error</t>
  </si>
  <si>
    <t xml:space="preserve">A wedding has a full table, a Must-Not-Sit-Together pair, and a Restricted table.</t>
  </si>
  <si>
    <t xml:space="preserve">1. Trigger a capacity-blocked move.
2. Trigger a Must-Not-Sit-Together-blocked move.
3. Trigger a Restricted-table-blocked move.</t>
  </si>
  <si>
    <t xml:space="preserve">Each of the 3 blocked actions shows a distinct, specific, plain-language message — never the same generic "action not allowed" text.</t>
  </si>
  <si>
    <t xml:space="preserve">AC-076</t>
  </si>
  <si>
    <t xml:space="preserve">NFR 9.3</t>
  </si>
  <si>
    <t xml:space="preserve">Non-Functional: Security &amp; Multi-Tenancy</t>
  </si>
  <si>
    <t xml:space="preserve">A user with no access cannot reach another wedding's data directly</t>
  </si>
  <si>
    <t xml:space="preserve">Security</t>
  </si>
  <si>
    <t xml:space="preserve">A user has no access to Wedding X. Wedding X's internal ID or URL is known or guessable.</t>
  </si>
  <si>
    <t xml:space="preserve">1. Attempt to open Wedding X's data directly by URL/ID, bypassing the normal navigation.</t>
  </si>
  <si>
    <t xml:space="preserve">Access is denied at the data layer (not merely hidden from a menu). No guest, rule, or plan data from Wedding X is returned.</t>
  </si>
  <si>
    <t xml:space="preserve">AC-077</t>
  </si>
  <si>
    <t xml:space="preserve">Guest personal data is protected in transit and at rest</t>
  </si>
  <si>
    <t xml:space="preserve">A wedding with guest names and accessibility/dietary notes.</t>
  </si>
  <si>
    <t xml:space="preserve">1. Inspect network traffic when loading guest data (confirm encryption in transit).
2. Confirm with the engineering team that stored data is encrypted at rest and export/retention controls are limited per policy.</t>
  </si>
  <si>
    <t xml:space="preserve">Guest data is encrypted in transit and at rest; retention/export controls match documented policy.</t>
  </si>
  <si>
    <t xml:space="preserve">AC-078</t>
  </si>
  <si>
    <t xml:space="preserve">NFR 9.4</t>
  </si>
  <si>
    <t xml:space="preserve">Non-Functional: Availability</t>
  </si>
  <si>
    <t xml:space="preserve">Printed materials remain usable with no connectivity</t>
  </si>
  <si>
    <t xml:space="preserve">A chart and alphabetical lookup list were exported and printed the day before, with no further changes since.</t>
  </si>
  <si>
    <t xml:space="preserve">1. With no internet connection, use only the printed materials to locate 5 specific guests' tables.</t>
  </si>
  <si>
    <t xml:space="preserve">All 5 guests are correctly located using only the printed materials.</t>
  </si>
  <si>
    <t xml:space="preserve">AC-079</t>
  </si>
  <si>
    <t xml:space="preserve">NFR 9.5</t>
  </si>
  <si>
    <t xml:space="preserve">Non-Functional: Accessibility &amp; Devices</t>
  </si>
  <si>
    <t xml:space="preserve">The app conforms to WCAG 2.1 Level AA</t>
  </si>
  <si>
    <t xml:space="preserve">The review view and day-of mode are accessible for testing.</t>
  </si>
  <si>
    <t xml:space="preserve">1. Run an automated accessibility scan (e.g., axe) against both views.
2. Navigate both views using only a keyboard.
3. Navigate both views using a screen reader.</t>
  </si>
  <si>
    <t xml:space="preserve">No critical WCAG 2.1 AA violations are reported. Every function is reachable by keyboard alone. The screen reader announces all labels and controls correctly.</t>
  </si>
  <si>
    <t xml:space="preserve">AC-080</t>
  </si>
  <si>
    <t xml:space="preserve">The app is usable on both desktop and mobile screen sizes</t>
  </si>
  <si>
    <t xml:space="preserve">A wedding with a generated plan.</t>
  </si>
  <si>
    <t xml:space="preserve">1. Use the full app on a desktop browser.
2. Use the full app on a mobile browser at common phone widths.</t>
  </si>
  <si>
    <t xml:space="preserve">Layout and functionality remain usable at both sizes; day-of mode in particular is comfortable to use one-handed on a phone.</t>
  </si>
  <si>
    <t xml:space="preserve">AC-081</t>
  </si>
  <si>
    <t xml:space="preserve">§11.1–11.2</t>
  </si>
  <si>
    <t xml:space="preserve">End-to-End Scenario</t>
  </si>
  <si>
    <t xml:space="preserve">Full setup-to-approval walkthrough</t>
  </si>
  <si>
    <t xml:space="preserve">End-to-End</t>
  </si>
  <si>
    <t xml:space="preserve">A new wedding and a realistic guest spreadsheet (approx. 100 guests) are ready.</t>
  </si>
  <si>
    <t xml:space="preserve">1. Create the wedding.
2. Import the guest spreadsheet.
3. Add a few Must-Sit-Together and Must-Not-Sit-Together rules; set the Side-Mixing level.
4. Quick-create a standard set of tables.
5. Generate the plan.
6. Share it with the couple and a collaborator.
7. Have the collaborator comment, then attempt an edit that a rule blocks.
8. Have the couple mark the plan Approved.</t>
  </si>
  <si>
    <t xml:space="preserve">Each step completes as described. The blocked edit in step 7 shows a clear, specific explanation. The plan ends in Approved status with every guest seated.</t>
  </si>
  <si>
    <t xml:space="preserve">AC-082</t>
  </si>
  <si>
    <t xml:space="preserve">§11.3</t>
  </si>
  <si>
    <t xml:space="preserve">Pre-wedding changes after approval</t>
  </si>
  <si>
    <t xml:space="preserve">An Approved plan exists from the prior scenario.</t>
  </si>
  <si>
    <t xml:space="preserve">1. Mark 2 guests Not Attending.
2. Add 1 late guest and seat them in an open seat.</t>
  </si>
  <si>
    <t xml:space="preserve">Seats free up and are re-checked automatically. The new guest is seated without breaking any rule. The plan remains Approved, now showing a "Modified since approval" indicator.</t>
  </si>
  <si>
    <t xml:space="preserve">AC-083</t>
  </si>
  <si>
    <t xml:space="preserve">§11.4</t>
  </si>
  <si>
    <t xml:space="preserve">Day-of execution using day-of mode and printed backups</t>
  </si>
  <si>
    <t xml:space="preserve">The approved, updated plan has been exported and printed the day before.</t>
  </si>
  <si>
    <t xml:space="preserve">1. On a phone, mark a no-show guest absent in day-of mode.
2. Swap two guests' seats for a last-minute request.
3. Cross-check the printed chart and lookup list against the state before these two day-of changes.</t>
  </si>
  <si>
    <t xml:space="preserve">Both day-of actions complete in under a minute each and are blocked/allowed per the normal hard/soft rule behavior. The pre-existing printed materials still correctly reflect guests' tables as of when they were printed.</t>
  </si>
  <si>
    <t xml:space="preserve">AC-084</t>
  </si>
  <si>
    <t xml:space="preserve">§7, §1</t>
  </si>
  <si>
    <t xml:space="preserve">Two clients' weddings never cross-contaminate across a full lifecycle</t>
  </si>
  <si>
    <t xml:space="preserve">One planner account.</t>
  </si>
  <si>
    <t xml:space="preserve">1. Fully set up Wedding A and Wedding B (distinct guests, rules, tables) under the same planner account.
2. Generate and approve both independently.
3. At every step, check that nothing from one wedding (a guest, a rule, a table, a comment) appears in the other.</t>
  </si>
  <si>
    <t xml:space="preserve">Both weddings complete the entire lifecycle independently. At no point does any data cross between them.</t>
  </si>
  <si>
    <t xml:space="preserve">Seatwise — Acceptance Test Summary</t>
  </si>
  <si>
    <t xml:space="preserve">Counts update automatically from the Test Cases tab as Status values are filled in.</t>
  </si>
  <si>
    <t xml:space="preserve">Total Tests</t>
  </si>
  <si>
    <t xml:space="preserve">Pass</t>
  </si>
  <si>
    <t xml:space="preserve">Fail</t>
  </si>
  <si>
    <t xml:space="preserve">Blocked</t>
  </si>
  <si>
    <t xml:space="preserve">Not Run / N/A</t>
  </si>
  <si>
    <t xml:space="preserve">% Pass</t>
  </si>
  <si>
    <t xml:space="preserve">TOTAL</t>
  </si>
  <si>
    <t xml:space="preserve">Total acceptance tests: 84, covering every functional requirement (FR-0.x–FR-10.x), every non-functional requirement, and 4 end-to-end scenarios from the PRD.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</si>
</sst>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sz val="11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EFE9"/>
        <bgColor rgb="FFE7E6E6"/>
      </patternFill>
    </fill>
    <fill>
      <patternFill patternType="solid">
        <fgColor rgb="FF1F3A5F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2EF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595959"/>
      </font>
      <fill>
        <patternFill>
          <bgColor rgb="FFE7E6E6"/>
        </patternFill>
      </fill>
    </dxf>
    <dxf>
      <font>
        <name val="Arial"/>
        <charset val="1"/>
        <family val="0"/>
        <b val="1"/>
        <color rgb="FF1F3A5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EFE9"/>
      <rgbColor rgb="FFE7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15" hidden="false" customHeight="false" outlineLevel="0" collapsed="false">
      <c r="A4" s="3" t="s">
        <v>2</v>
      </c>
    </row>
    <row r="5" customFormat="false" ht="52.2" hidden="false" customHeight="false" outlineLevel="0" collapsed="false">
      <c r="A5" s="4" t="s">
        <v>3</v>
      </c>
    </row>
    <row r="7" customFormat="false" ht="16.15" hidden="false" customHeight="false" outlineLevel="0" collapsed="false">
      <c r="A7" s="3" t="s">
        <v>4</v>
      </c>
    </row>
    <row r="8" customFormat="false" ht="39.55" hidden="false" customHeight="false" outlineLevel="0" collapsed="false">
      <c r="A8" s="4" t="s">
        <v>5</v>
      </c>
    </row>
    <row r="9" customFormat="false" ht="26.8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26.8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26.85" hidden="false" customHeight="false" outlineLevel="0" collapsed="false">
      <c r="A13" s="4" t="s">
        <v>10</v>
      </c>
    </row>
    <row r="15" customFormat="false" ht="16.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26.85" hidden="false" customHeight="false" outlineLevel="0" collapsed="false">
      <c r="A18" s="4" t="s">
        <v>14</v>
      </c>
    </row>
    <row r="19" customFormat="false" ht="26.85" hidden="false" customHeight="false" outlineLevel="0" collapsed="false">
      <c r="A19" s="4" t="s">
        <v>15</v>
      </c>
    </row>
    <row r="21" customFormat="false" ht="16.15" hidden="false" customHeight="false" outlineLevel="0" collapsed="false">
      <c r="A21" s="3" t="s">
        <v>16</v>
      </c>
    </row>
    <row r="22" customFormat="false" ht="26.85" hidden="false" customHeight="false" outlineLevel="0" collapsed="false">
      <c r="A22" s="4" t="s">
        <v>17</v>
      </c>
    </row>
    <row r="23" customFormat="false" ht="39.55" hidden="false" customHeight="false" outlineLevel="0" collapsed="false">
      <c r="A23" s="4" t="s">
        <v>18</v>
      </c>
    </row>
    <row r="24" customFormat="false" ht="26.85" hidden="false" customHeight="false" outlineLevel="0" collapsed="false">
      <c r="A24" s="4" t="s">
        <v>19</v>
      </c>
    </row>
    <row r="26" customFormat="false" ht="16.15" hidden="false" customHeight="false" outlineLevel="0" collapsed="false">
      <c r="A26" s="3" t="s">
        <v>20</v>
      </c>
    </row>
    <row r="28" customFormat="false" ht="15" hidden="false" customHeight="false" outlineLevel="0" collapsed="false">
      <c r="A28" s="5" t="s">
        <v>21</v>
      </c>
    </row>
    <row r="29" customFormat="false" ht="15" hidden="false" customHeight="false" outlineLevel="0" collapsed="false">
      <c r="A29" s="5" t="s">
        <v>22</v>
      </c>
    </row>
    <row r="30" customFormat="false" ht="15" hidden="false" customHeight="false" outlineLevel="0" collapsed="false">
      <c r="A30" s="5" t="s">
        <v>23</v>
      </c>
    </row>
    <row r="31" customFormat="false" ht="15" hidden="false" customHeight="false" outlineLevel="0" collapsed="false">
      <c r="A31" s="5" t="s">
        <v>24</v>
      </c>
    </row>
    <row r="32" customFormat="false" ht="15" hidden="false" customHeight="false" outlineLevel="0" collapsed="false">
      <c r="A32" s="5" t="s">
        <v>25</v>
      </c>
    </row>
    <row r="33" customFormat="false" ht="15" hidden="false" customHeight="false" outlineLevel="0" collapsed="false">
      <c r="A33" s="5" t="s">
        <v>26</v>
      </c>
    </row>
    <row r="34" customFormat="false" ht="15" hidden="false" customHeight="false" outlineLevel="0" collapsed="false">
      <c r="A34" s="5" t="s">
        <v>27</v>
      </c>
    </row>
    <row r="35" customFormat="false" ht="35.05" hidden="false" customHeight="false" outlineLevel="0" collapsed="false">
      <c r="A35" s="5" t="s">
        <v>28</v>
      </c>
    </row>
    <row r="36" customFormat="false" ht="15" hidden="false" customHeight="false" outlineLevel="0" collapsed="false">
      <c r="A36" s="5" t="s">
        <v>29</v>
      </c>
    </row>
    <row r="37" customFormat="false" ht="15" hidden="false" customHeight="false" outlineLevel="0" collapsed="false">
      <c r="A37" s="5" t="s">
        <v>30</v>
      </c>
    </row>
    <row r="38" customFormat="false" ht="15" hidden="false" customHeight="false" outlineLevel="0" collapsed="false">
      <c r="A38" s="5" t="s">
        <v>31</v>
      </c>
    </row>
    <row r="39" customFormat="false" ht="15" hidden="false" customHeight="false" outlineLevel="0" collapsed="false">
      <c r="A39" s="5" t="s">
        <v>32</v>
      </c>
    </row>
    <row r="40" customFormat="false" ht="15" hidden="false" customHeight="false" outlineLevel="0" collapsed="false">
      <c r="A40" s="5" t="s">
        <v>33</v>
      </c>
    </row>
    <row r="42" customFormat="false" ht="15" hidden="false" customHeight="false" outlineLevel="0" collapsed="false">
      <c r="A42" s="6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8" min="8" style="0" width="46"/>
    <col collapsed="false" customWidth="true" hidden="false" outlineLevel="0" max="9" min="9" style="0" width="42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28"/>
  </cols>
  <sheetData>
    <row r="1" customFormat="false" ht="30" hidden="false" customHeight="true" outlineLevel="0" collapsed="false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  <c r="M1" s="7" t="s">
        <v>47</v>
      </c>
    </row>
    <row r="2" customFormat="false" ht="93.75" hidden="false" customHeight="true" outlineLevel="0" collapsed="false">
      <c r="A2" s="8" t="s">
        <v>48</v>
      </c>
      <c r="B2" s="8" t="s">
        <v>49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54</v>
      </c>
      <c r="H2" s="8" t="s">
        <v>55</v>
      </c>
      <c r="I2" s="8" t="s">
        <v>56</v>
      </c>
      <c r="J2" s="8" t="s">
        <v>57</v>
      </c>
      <c r="K2" s="8"/>
      <c r="L2" s="8"/>
      <c r="M2" s="8"/>
    </row>
    <row r="3" customFormat="false" ht="66" hidden="false" customHeight="true" outlineLevel="0" collapsed="false">
      <c r="A3" s="9" t="s">
        <v>58</v>
      </c>
      <c r="B3" s="9" t="s">
        <v>49</v>
      </c>
      <c r="C3" s="9" t="s">
        <v>50</v>
      </c>
      <c r="D3" s="9" t="s">
        <v>59</v>
      </c>
      <c r="E3" s="9" t="s">
        <v>52</v>
      </c>
      <c r="F3" s="9" t="s">
        <v>53</v>
      </c>
      <c r="G3" s="9" t="s">
        <v>60</v>
      </c>
      <c r="H3" s="9" t="s">
        <v>61</v>
      </c>
      <c r="I3" s="9" t="s">
        <v>62</v>
      </c>
      <c r="J3" s="9" t="s">
        <v>57</v>
      </c>
      <c r="K3" s="9"/>
      <c r="L3" s="9"/>
      <c r="M3" s="9"/>
    </row>
    <row r="4" customFormat="false" ht="66" hidden="false" customHeight="true" outlineLevel="0" collapsed="false">
      <c r="A4" s="8" t="s">
        <v>63</v>
      </c>
      <c r="B4" s="8" t="s">
        <v>64</v>
      </c>
      <c r="C4" s="8" t="s">
        <v>50</v>
      </c>
      <c r="D4" s="8" t="s">
        <v>65</v>
      </c>
      <c r="E4" s="8" t="s">
        <v>66</v>
      </c>
      <c r="F4" s="8" t="s">
        <v>53</v>
      </c>
      <c r="G4" s="8" t="s">
        <v>67</v>
      </c>
      <c r="H4" s="8" t="s">
        <v>68</v>
      </c>
      <c r="I4" s="8" t="s">
        <v>69</v>
      </c>
      <c r="J4" s="8" t="s">
        <v>57</v>
      </c>
      <c r="K4" s="8"/>
      <c r="L4" s="8"/>
      <c r="M4" s="8"/>
    </row>
    <row r="5" customFormat="false" ht="66" hidden="false" customHeight="true" outlineLevel="0" collapsed="false">
      <c r="A5" s="9" t="s">
        <v>70</v>
      </c>
      <c r="B5" s="9" t="s">
        <v>71</v>
      </c>
      <c r="C5" s="9" t="s">
        <v>72</v>
      </c>
      <c r="D5" s="9" t="s">
        <v>73</v>
      </c>
      <c r="E5" s="9" t="s">
        <v>66</v>
      </c>
      <c r="F5" s="9" t="s">
        <v>53</v>
      </c>
      <c r="G5" s="9" t="s">
        <v>74</v>
      </c>
      <c r="H5" s="9" t="s">
        <v>75</v>
      </c>
      <c r="I5" s="9" t="s">
        <v>76</v>
      </c>
      <c r="J5" s="9" t="s">
        <v>57</v>
      </c>
      <c r="K5" s="9"/>
      <c r="L5" s="9"/>
      <c r="M5" s="9"/>
    </row>
    <row r="6" customFormat="false" ht="51.75" hidden="false" customHeight="true" outlineLevel="0" collapsed="false">
      <c r="A6" s="8" t="s">
        <v>77</v>
      </c>
      <c r="B6" s="8" t="s">
        <v>78</v>
      </c>
      <c r="C6" s="8" t="s">
        <v>72</v>
      </c>
      <c r="D6" s="8" t="s">
        <v>79</v>
      </c>
      <c r="E6" s="8" t="s">
        <v>52</v>
      </c>
      <c r="F6" s="8" t="s">
        <v>53</v>
      </c>
      <c r="G6" s="8" t="s">
        <v>80</v>
      </c>
      <c r="H6" s="8" t="s">
        <v>81</v>
      </c>
      <c r="I6" s="8" t="s">
        <v>82</v>
      </c>
      <c r="J6" s="8" t="s">
        <v>57</v>
      </c>
      <c r="K6" s="8"/>
      <c r="L6" s="8"/>
      <c r="M6" s="8"/>
    </row>
    <row r="7" customFormat="false" ht="79.5" hidden="false" customHeight="true" outlineLevel="0" collapsed="false">
      <c r="A7" s="9" t="s">
        <v>83</v>
      </c>
      <c r="B7" s="9" t="s">
        <v>84</v>
      </c>
      <c r="C7" s="9" t="s">
        <v>72</v>
      </c>
      <c r="D7" s="9" t="s">
        <v>85</v>
      </c>
      <c r="E7" s="9" t="s">
        <v>66</v>
      </c>
      <c r="F7" s="9" t="s">
        <v>86</v>
      </c>
      <c r="G7" s="9" t="s">
        <v>87</v>
      </c>
      <c r="H7" s="9" t="s">
        <v>88</v>
      </c>
      <c r="I7" s="9" t="s">
        <v>89</v>
      </c>
      <c r="J7" s="9" t="s">
        <v>57</v>
      </c>
      <c r="K7" s="9"/>
      <c r="L7" s="9"/>
      <c r="M7" s="9"/>
    </row>
    <row r="8" customFormat="false" ht="51.75" hidden="false" customHeight="true" outlineLevel="0" collapsed="false">
      <c r="A8" s="8" t="s">
        <v>90</v>
      </c>
      <c r="B8" s="8" t="s">
        <v>91</v>
      </c>
      <c r="C8" s="8" t="s">
        <v>72</v>
      </c>
      <c r="D8" s="8" t="s">
        <v>92</v>
      </c>
      <c r="E8" s="8" t="s">
        <v>66</v>
      </c>
      <c r="F8" s="8" t="s">
        <v>86</v>
      </c>
      <c r="G8" s="8" t="s">
        <v>93</v>
      </c>
      <c r="H8" s="8" t="s">
        <v>94</v>
      </c>
      <c r="I8" s="8" t="s">
        <v>95</v>
      </c>
      <c r="J8" s="8" t="s">
        <v>57</v>
      </c>
      <c r="K8" s="8"/>
      <c r="L8" s="8"/>
      <c r="M8" s="8"/>
    </row>
    <row r="9" customFormat="false" ht="51.75" hidden="false" customHeight="true" outlineLevel="0" collapsed="false">
      <c r="A9" s="9" t="s">
        <v>96</v>
      </c>
      <c r="B9" s="9" t="s">
        <v>97</v>
      </c>
      <c r="C9" s="9" t="s">
        <v>72</v>
      </c>
      <c r="D9" s="9" t="s">
        <v>98</v>
      </c>
      <c r="E9" s="9" t="s">
        <v>66</v>
      </c>
      <c r="F9" s="9" t="s">
        <v>53</v>
      </c>
      <c r="G9" s="9" t="s">
        <v>99</v>
      </c>
      <c r="H9" s="9" t="s">
        <v>100</v>
      </c>
      <c r="I9" s="9" t="s">
        <v>101</v>
      </c>
      <c r="J9" s="9" t="s">
        <v>57</v>
      </c>
      <c r="K9" s="9"/>
      <c r="L9" s="9"/>
      <c r="M9" s="9"/>
    </row>
    <row r="10" customFormat="false" ht="51.75" hidden="false" customHeight="true" outlineLevel="0" collapsed="false">
      <c r="A10" s="8" t="s">
        <v>102</v>
      </c>
      <c r="B10" s="8" t="s">
        <v>103</v>
      </c>
      <c r="C10" s="8" t="s">
        <v>72</v>
      </c>
      <c r="D10" s="8" t="s">
        <v>104</v>
      </c>
      <c r="E10" s="8" t="s">
        <v>52</v>
      </c>
      <c r="F10" s="8" t="s">
        <v>53</v>
      </c>
      <c r="G10" s="8" t="s">
        <v>105</v>
      </c>
      <c r="H10" s="8" t="s">
        <v>106</v>
      </c>
      <c r="I10" s="8" t="s">
        <v>107</v>
      </c>
      <c r="J10" s="8" t="s">
        <v>57</v>
      </c>
      <c r="K10" s="8"/>
      <c r="L10" s="8"/>
      <c r="M10" s="8"/>
    </row>
    <row r="11" customFormat="false" ht="51.75" hidden="false" customHeight="true" outlineLevel="0" collapsed="false">
      <c r="A11" s="9" t="s">
        <v>108</v>
      </c>
      <c r="B11" s="9" t="s">
        <v>109</v>
      </c>
      <c r="C11" s="9" t="s">
        <v>72</v>
      </c>
      <c r="D11" s="9" t="s">
        <v>110</v>
      </c>
      <c r="E11" s="9" t="s">
        <v>52</v>
      </c>
      <c r="F11" s="9" t="s">
        <v>53</v>
      </c>
      <c r="G11" s="9" t="s">
        <v>111</v>
      </c>
      <c r="H11" s="9" t="s">
        <v>112</v>
      </c>
      <c r="I11" s="9" t="s">
        <v>113</v>
      </c>
      <c r="J11" s="9" t="s">
        <v>57</v>
      </c>
      <c r="K11" s="9"/>
      <c r="L11" s="9"/>
      <c r="M11" s="9"/>
    </row>
    <row r="12" customFormat="false" ht="79.5" hidden="false" customHeight="true" outlineLevel="0" collapsed="false">
      <c r="A12" s="8" t="s">
        <v>114</v>
      </c>
      <c r="B12" s="8" t="s">
        <v>115</v>
      </c>
      <c r="C12" s="8" t="s">
        <v>72</v>
      </c>
      <c r="D12" s="8" t="s">
        <v>116</v>
      </c>
      <c r="E12" s="8" t="s">
        <v>52</v>
      </c>
      <c r="F12" s="8" t="s">
        <v>53</v>
      </c>
      <c r="G12" s="8" t="s">
        <v>117</v>
      </c>
      <c r="H12" s="8" t="s">
        <v>118</v>
      </c>
      <c r="I12" s="8" t="s">
        <v>119</v>
      </c>
      <c r="J12" s="8" t="s">
        <v>57</v>
      </c>
      <c r="K12" s="8"/>
      <c r="L12" s="8"/>
      <c r="M12" s="8"/>
    </row>
    <row r="13" customFormat="false" ht="66" hidden="false" customHeight="true" outlineLevel="0" collapsed="false">
      <c r="A13" s="9" t="s">
        <v>120</v>
      </c>
      <c r="B13" s="9" t="s">
        <v>121</v>
      </c>
      <c r="C13" s="9" t="s">
        <v>122</v>
      </c>
      <c r="D13" s="9" t="s">
        <v>123</v>
      </c>
      <c r="E13" s="9" t="s">
        <v>66</v>
      </c>
      <c r="F13" s="9" t="s">
        <v>53</v>
      </c>
      <c r="G13" s="9" t="s">
        <v>99</v>
      </c>
      <c r="H13" s="9" t="s">
        <v>124</v>
      </c>
      <c r="I13" s="9" t="s">
        <v>125</v>
      </c>
      <c r="J13" s="9" t="s">
        <v>57</v>
      </c>
      <c r="K13" s="9"/>
      <c r="L13" s="9"/>
      <c r="M13" s="9"/>
    </row>
    <row r="14" customFormat="false" ht="51.75" hidden="false" customHeight="true" outlineLevel="0" collapsed="false">
      <c r="A14" s="8" t="s">
        <v>126</v>
      </c>
      <c r="B14" s="8" t="s">
        <v>127</v>
      </c>
      <c r="C14" s="8" t="s">
        <v>122</v>
      </c>
      <c r="D14" s="8" t="s">
        <v>128</v>
      </c>
      <c r="E14" s="8" t="s">
        <v>66</v>
      </c>
      <c r="F14" s="8" t="s">
        <v>86</v>
      </c>
      <c r="G14" s="8" t="s">
        <v>99</v>
      </c>
      <c r="H14" s="8" t="s">
        <v>129</v>
      </c>
      <c r="I14" s="8" t="s">
        <v>130</v>
      </c>
      <c r="J14" s="8" t="s">
        <v>57</v>
      </c>
      <c r="K14" s="8"/>
      <c r="L14" s="8"/>
      <c r="M14" s="8"/>
    </row>
    <row r="15" customFormat="false" ht="121.5" hidden="false" customHeight="true" outlineLevel="0" collapsed="false">
      <c r="A15" s="9" t="s">
        <v>131</v>
      </c>
      <c r="B15" s="9" t="s">
        <v>132</v>
      </c>
      <c r="C15" s="9" t="s">
        <v>122</v>
      </c>
      <c r="D15" s="9" t="s">
        <v>133</v>
      </c>
      <c r="E15" s="9" t="s">
        <v>66</v>
      </c>
      <c r="F15" s="9" t="s">
        <v>86</v>
      </c>
      <c r="G15" s="9" t="s">
        <v>134</v>
      </c>
      <c r="H15" s="9" t="s">
        <v>135</v>
      </c>
      <c r="I15" s="9" t="s">
        <v>136</v>
      </c>
      <c r="J15" s="9" t="s">
        <v>57</v>
      </c>
      <c r="K15" s="9"/>
      <c r="L15" s="9"/>
      <c r="M15" s="9"/>
    </row>
    <row r="16" customFormat="false" ht="51.75" hidden="false" customHeight="true" outlineLevel="0" collapsed="false">
      <c r="A16" s="8" t="s">
        <v>137</v>
      </c>
      <c r="B16" s="8" t="s">
        <v>138</v>
      </c>
      <c r="C16" s="8" t="s">
        <v>122</v>
      </c>
      <c r="D16" s="8" t="s">
        <v>139</v>
      </c>
      <c r="E16" s="8" t="s">
        <v>66</v>
      </c>
      <c r="F16" s="8" t="s">
        <v>53</v>
      </c>
      <c r="G16" s="8" t="s">
        <v>99</v>
      </c>
      <c r="H16" s="8" t="s">
        <v>140</v>
      </c>
      <c r="I16" s="8" t="s">
        <v>141</v>
      </c>
      <c r="J16" s="8" t="s">
        <v>57</v>
      </c>
      <c r="K16" s="8"/>
      <c r="L16" s="8"/>
      <c r="M16" s="8"/>
    </row>
    <row r="17" customFormat="false" ht="79.5" hidden="false" customHeight="true" outlineLevel="0" collapsed="false">
      <c r="A17" s="9" t="s">
        <v>142</v>
      </c>
      <c r="B17" s="9" t="s">
        <v>143</v>
      </c>
      <c r="C17" s="9" t="s">
        <v>122</v>
      </c>
      <c r="D17" s="9" t="s">
        <v>144</v>
      </c>
      <c r="E17" s="9" t="s">
        <v>52</v>
      </c>
      <c r="F17" s="9" t="s">
        <v>53</v>
      </c>
      <c r="G17" s="9" t="s">
        <v>145</v>
      </c>
      <c r="H17" s="9" t="s">
        <v>146</v>
      </c>
      <c r="I17" s="9" t="s">
        <v>147</v>
      </c>
      <c r="J17" s="9" t="s">
        <v>57</v>
      </c>
      <c r="K17" s="9"/>
      <c r="L17" s="9"/>
      <c r="M17" s="9"/>
    </row>
    <row r="18" customFormat="false" ht="79.5" hidden="false" customHeight="true" outlineLevel="0" collapsed="false">
      <c r="A18" s="8" t="s">
        <v>148</v>
      </c>
      <c r="B18" s="8" t="s">
        <v>149</v>
      </c>
      <c r="C18" s="8" t="s">
        <v>122</v>
      </c>
      <c r="D18" s="8" t="s">
        <v>150</v>
      </c>
      <c r="E18" s="8" t="s">
        <v>66</v>
      </c>
      <c r="F18" s="8" t="s">
        <v>53</v>
      </c>
      <c r="G18" s="8" t="s">
        <v>151</v>
      </c>
      <c r="H18" s="8" t="s">
        <v>152</v>
      </c>
      <c r="I18" s="8" t="s">
        <v>153</v>
      </c>
      <c r="J18" s="8" t="s">
        <v>57</v>
      </c>
      <c r="K18" s="8"/>
      <c r="L18" s="8"/>
      <c r="M18" s="8"/>
    </row>
    <row r="19" customFormat="false" ht="79.5" hidden="false" customHeight="true" outlineLevel="0" collapsed="false">
      <c r="A19" s="9" t="s">
        <v>154</v>
      </c>
      <c r="B19" s="9" t="s">
        <v>155</v>
      </c>
      <c r="C19" s="9" t="s">
        <v>122</v>
      </c>
      <c r="D19" s="9" t="s">
        <v>156</v>
      </c>
      <c r="E19" s="9" t="s">
        <v>66</v>
      </c>
      <c r="F19" s="9" t="s">
        <v>53</v>
      </c>
      <c r="G19" s="9" t="s">
        <v>157</v>
      </c>
      <c r="H19" s="9" t="s">
        <v>158</v>
      </c>
      <c r="I19" s="9" t="s">
        <v>159</v>
      </c>
      <c r="J19" s="9" t="s">
        <v>57</v>
      </c>
      <c r="K19" s="9"/>
      <c r="L19" s="9"/>
      <c r="M19" s="9"/>
    </row>
    <row r="20" customFormat="false" ht="66" hidden="false" customHeight="true" outlineLevel="0" collapsed="false">
      <c r="A20" s="8" t="s">
        <v>160</v>
      </c>
      <c r="B20" s="8" t="s">
        <v>161</v>
      </c>
      <c r="C20" s="8" t="s">
        <v>122</v>
      </c>
      <c r="D20" s="8" t="s">
        <v>162</v>
      </c>
      <c r="E20" s="8" t="s">
        <v>66</v>
      </c>
      <c r="F20" s="8" t="s">
        <v>86</v>
      </c>
      <c r="G20" s="8" t="s">
        <v>163</v>
      </c>
      <c r="H20" s="8" t="s">
        <v>164</v>
      </c>
      <c r="I20" s="8" t="s">
        <v>165</v>
      </c>
      <c r="J20" s="8" t="s">
        <v>57</v>
      </c>
      <c r="K20" s="8"/>
      <c r="L20" s="8"/>
      <c r="M20" s="8"/>
    </row>
    <row r="21" customFormat="false" ht="66" hidden="false" customHeight="true" outlineLevel="0" collapsed="false">
      <c r="A21" s="9" t="s">
        <v>166</v>
      </c>
      <c r="B21" s="9" t="s">
        <v>167</v>
      </c>
      <c r="C21" s="9" t="s">
        <v>122</v>
      </c>
      <c r="D21" s="9" t="s">
        <v>168</v>
      </c>
      <c r="E21" s="9" t="s">
        <v>66</v>
      </c>
      <c r="F21" s="9" t="s">
        <v>86</v>
      </c>
      <c r="G21" s="9" t="s">
        <v>169</v>
      </c>
      <c r="H21" s="9" t="s">
        <v>170</v>
      </c>
      <c r="I21" s="9" t="s">
        <v>171</v>
      </c>
      <c r="J21" s="9" t="s">
        <v>57</v>
      </c>
      <c r="K21" s="9"/>
      <c r="L21" s="9"/>
      <c r="M21" s="9"/>
    </row>
    <row r="22" customFormat="false" ht="66" hidden="false" customHeight="true" outlineLevel="0" collapsed="false">
      <c r="A22" s="8" t="s">
        <v>172</v>
      </c>
      <c r="B22" s="8" t="s">
        <v>173</v>
      </c>
      <c r="C22" s="8" t="s">
        <v>122</v>
      </c>
      <c r="D22" s="8" t="s">
        <v>174</v>
      </c>
      <c r="E22" s="8" t="s">
        <v>66</v>
      </c>
      <c r="F22" s="8" t="s">
        <v>86</v>
      </c>
      <c r="G22" s="8" t="s">
        <v>175</v>
      </c>
      <c r="H22" s="8" t="s">
        <v>176</v>
      </c>
      <c r="I22" s="8" t="s">
        <v>177</v>
      </c>
      <c r="J22" s="8" t="s">
        <v>57</v>
      </c>
      <c r="K22" s="8"/>
      <c r="L22" s="8"/>
      <c r="M22" s="8"/>
    </row>
    <row r="23" customFormat="false" ht="51.75" hidden="false" customHeight="true" outlineLevel="0" collapsed="false">
      <c r="A23" s="9" t="s">
        <v>178</v>
      </c>
      <c r="B23" s="9" t="s">
        <v>179</v>
      </c>
      <c r="C23" s="9" t="s">
        <v>122</v>
      </c>
      <c r="D23" s="9" t="s">
        <v>180</v>
      </c>
      <c r="E23" s="9" t="s">
        <v>52</v>
      </c>
      <c r="F23" s="9" t="s">
        <v>53</v>
      </c>
      <c r="G23" s="9" t="s">
        <v>181</v>
      </c>
      <c r="H23" s="9" t="s">
        <v>182</v>
      </c>
      <c r="I23" s="9" t="s">
        <v>183</v>
      </c>
      <c r="J23" s="9" t="s">
        <v>57</v>
      </c>
      <c r="K23" s="9"/>
      <c r="L23" s="9"/>
      <c r="M23" s="9"/>
    </row>
    <row r="24" customFormat="false" ht="79.5" hidden="false" customHeight="true" outlineLevel="0" collapsed="false">
      <c r="A24" s="8" t="s">
        <v>184</v>
      </c>
      <c r="B24" s="8" t="s">
        <v>185</v>
      </c>
      <c r="C24" s="8" t="s">
        <v>186</v>
      </c>
      <c r="D24" s="8" t="s">
        <v>187</v>
      </c>
      <c r="E24" s="8" t="s">
        <v>66</v>
      </c>
      <c r="F24" s="8" t="s">
        <v>53</v>
      </c>
      <c r="G24" s="8" t="s">
        <v>188</v>
      </c>
      <c r="H24" s="8" t="s">
        <v>189</v>
      </c>
      <c r="I24" s="8" t="s">
        <v>190</v>
      </c>
      <c r="J24" s="8" t="s">
        <v>57</v>
      </c>
      <c r="K24" s="8"/>
      <c r="L24" s="8"/>
      <c r="M24" s="8"/>
    </row>
    <row r="25" customFormat="false" ht="79.5" hidden="false" customHeight="true" outlineLevel="0" collapsed="false">
      <c r="A25" s="9" t="s">
        <v>191</v>
      </c>
      <c r="B25" s="9" t="s">
        <v>192</v>
      </c>
      <c r="C25" s="9" t="s">
        <v>186</v>
      </c>
      <c r="D25" s="9" t="s">
        <v>193</v>
      </c>
      <c r="E25" s="9" t="s">
        <v>52</v>
      </c>
      <c r="F25" s="9" t="s">
        <v>53</v>
      </c>
      <c r="G25" s="9" t="s">
        <v>188</v>
      </c>
      <c r="H25" s="9" t="s">
        <v>194</v>
      </c>
      <c r="I25" s="9" t="s">
        <v>195</v>
      </c>
      <c r="J25" s="9" t="s">
        <v>57</v>
      </c>
      <c r="K25" s="9"/>
      <c r="L25" s="9"/>
      <c r="M25" s="9"/>
    </row>
    <row r="26" customFormat="false" ht="79.5" hidden="false" customHeight="true" outlineLevel="0" collapsed="false">
      <c r="A26" s="8" t="s">
        <v>196</v>
      </c>
      <c r="B26" s="8" t="s">
        <v>197</v>
      </c>
      <c r="C26" s="8" t="s">
        <v>186</v>
      </c>
      <c r="D26" s="8" t="s">
        <v>198</v>
      </c>
      <c r="E26" s="8" t="s">
        <v>66</v>
      </c>
      <c r="F26" s="8" t="s">
        <v>86</v>
      </c>
      <c r="G26" s="8" t="s">
        <v>199</v>
      </c>
      <c r="H26" s="8" t="s">
        <v>200</v>
      </c>
      <c r="I26" s="8" t="s">
        <v>201</v>
      </c>
      <c r="J26" s="8" t="s">
        <v>57</v>
      </c>
      <c r="K26" s="8"/>
      <c r="L26" s="8"/>
      <c r="M26" s="8"/>
    </row>
    <row r="27" customFormat="false" ht="93.75" hidden="false" customHeight="true" outlineLevel="0" collapsed="false">
      <c r="A27" s="9" t="s">
        <v>202</v>
      </c>
      <c r="B27" s="9" t="s">
        <v>203</v>
      </c>
      <c r="C27" s="9" t="s">
        <v>186</v>
      </c>
      <c r="D27" s="9" t="s">
        <v>204</v>
      </c>
      <c r="E27" s="9" t="s">
        <v>66</v>
      </c>
      <c r="F27" s="9" t="s">
        <v>53</v>
      </c>
      <c r="G27" s="9" t="s">
        <v>205</v>
      </c>
      <c r="H27" s="9" t="s">
        <v>206</v>
      </c>
      <c r="I27" s="9" t="s">
        <v>207</v>
      </c>
      <c r="J27" s="9" t="s">
        <v>57</v>
      </c>
      <c r="K27" s="9"/>
      <c r="L27" s="9"/>
      <c r="M27" s="9"/>
    </row>
    <row r="28" customFormat="false" ht="66" hidden="false" customHeight="true" outlineLevel="0" collapsed="false">
      <c r="A28" s="8" t="s">
        <v>208</v>
      </c>
      <c r="B28" s="8" t="s">
        <v>209</v>
      </c>
      <c r="C28" s="8" t="s">
        <v>186</v>
      </c>
      <c r="D28" s="8" t="s">
        <v>210</v>
      </c>
      <c r="E28" s="8" t="s">
        <v>52</v>
      </c>
      <c r="F28" s="8" t="s">
        <v>53</v>
      </c>
      <c r="G28" s="8" t="s">
        <v>211</v>
      </c>
      <c r="H28" s="8" t="s">
        <v>212</v>
      </c>
      <c r="I28" s="8" t="s">
        <v>213</v>
      </c>
      <c r="J28" s="8" t="s">
        <v>57</v>
      </c>
      <c r="K28" s="8"/>
      <c r="L28" s="8"/>
      <c r="M28" s="8"/>
    </row>
    <row r="29" customFormat="false" ht="51.75" hidden="false" customHeight="true" outlineLevel="0" collapsed="false">
      <c r="A29" s="9" t="s">
        <v>214</v>
      </c>
      <c r="B29" s="9" t="s">
        <v>215</v>
      </c>
      <c r="C29" s="9" t="s">
        <v>186</v>
      </c>
      <c r="D29" s="9" t="s">
        <v>216</v>
      </c>
      <c r="E29" s="9" t="s">
        <v>66</v>
      </c>
      <c r="F29" s="9" t="s">
        <v>86</v>
      </c>
      <c r="G29" s="9" t="s">
        <v>217</v>
      </c>
      <c r="H29" s="9" t="s">
        <v>218</v>
      </c>
      <c r="I29" s="9" t="s">
        <v>219</v>
      </c>
      <c r="J29" s="9" t="s">
        <v>57</v>
      </c>
      <c r="K29" s="9"/>
      <c r="L29" s="9"/>
      <c r="M29" s="9"/>
    </row>
    <row r="30" customFormat="false" ht="51.75" hidden="false" customHeight="true" outlineLevel="0" collapsed="false">
      <c r="A30" s="8" t="s">
        <v>220</v>
      </c>
      <c r="B30" s="8" t="s">
        <v>221</v>
      </c>
      <c r="C30" s="8" t="s">
        <v>186</v>
      </c>
      <c r="D30" s="8" t="s">
        <v>222</v>
      </c>
      <c r="E30" s="8" t="s">
        <v>66</v>
      </c>
      <c r="F30" s="8" t="s">
        <v>86</v>
      </c>
      <c r="G30" s="8" t="s">
        <v>223</v>
      </c>
      <c r="H30" s="8" t="s">
        <v>224</v>
      </c>
      <c r="I30" s="8" t="s">
        <v>225</v>
      </c>
      <c r="J30" s="8" t="s">
        <v>57</v>
      </c>
      <c r="K30" s="8"/>
      <c r="L30" s="8"/>
      <c r="M30" s="8"/>
    </row>
    <row r="31" customFormat="false" ht="66" hidden="false" customHeight="true" outlineLevel="0" collapsed="false">
      <c r="A31" s="9" t="s">
        <v>226</v>
      </c>
      <c r="B31" s="9" t="s">
        <v>227</v>
      </c>
      <c r="C31" s="9" t="s">
        <v>186</v>
      </c>
      <c r="D31" s="9" t="s">
        <v>228</v>
      </c>
      <c r="E31" s="9" t="s">
        <v>66</v>
      </c>
      <c r="F31" s="9" t="s">
        <v>86</v>
      </c>
      <c r="G31" s="9" t="s">
        <v>229</v>
      </c>
      <c r="H31" s="9" t="s">
        <v>230</v>
      </c>
      <c r="I31" s="9" t="s">
        <v>231</v>
      </c>
      <c r="J31" s="9" t="s">
        <v>57</v>
      </c>
      <c r="K31" s="9"/>
      <c r="L31" s="9"/>
      <c r="M31" s="9"/>
    </row>
    <row r="32" customFormat="false" ht="51.75" hidden="false" customHeight="true" outlineLevel="0" collapsed="false">
      <c r="A32" s="8" t="s">
        <v>232</v>
      </c>
      <c r="B32" s="8" t="s">
        <v>233</v>
      </c>
      <c r="C32" s="8" t="s">
        <v>186</v>
      </c>
      <c r="D32" s="8" t="s">
        <v>234</v>
      </c>
      <c r="E32" s="8" t="s">
        <v>52</v>
      </c>
      <c r="F32" s="8" t="s">
        <v>53</v>
      </c>
      <c r="G32" s="8" t="s">
        <v>235</v>
      </c>
      <c r="H32" s="8" t="s">
        <v>236</v>
      </c>
      <c r="I32" s="8" t="s">
        <v>237</v>
      </c>
      <c r="J32" s="8" t="s">
        <v>57</v>
      </c>
      <c r="K32" s="8"/>
      <c r="L32" s="8"/>
      <c r="M32" s="8"/>
    </row>
    <row r="33" customFormat="false" ht="51.75" hidden="false" customHeight="true" outlineLevel="0" collapsed="false">
      <c r="A33" s="9" t="s">
        <v>238</v>
      </c>
      <c r="B33" s="9" t="s">
        <v>239</v>
      </c>
      <c r="C33" s="9" t="s">
        <v>186</v>
      </c>
      <c r="D33" s="9" t="s">
        <v>240</v>
      </c>
      <c r="E33" s="9" t="s">
        <v>52</v>
      </c>
      <c r="F33" s="9" t="s">
        <v>53</v>
      </c>
      <c r="G33" s="9" t="s">
        <v>241</v>
      </c>
      <c r="H33" s="9" t="s">
        <v>242</v>
      </c>
      <c r="I33" s="9" t="s">
        <v>243</v>
      </c>
      <c r="J33" s="9" t="s">
        <v>57</v>
      </c>
      <c r="K33" s="9"/>
      <c r="L33" s="9"/>
      <c r="M33" s="9"/>
    </row>
    <row r="34" customFormat="false" ht="66" hidden="false" customHeight="true" outlineLevel="0" collapsed="false">
      <c r="A34" s="8" t="s">
        <v>244</v>
      </c>
      <c r="B34" s="8" t="s">
        <v>245</v>
      </c>
      <c r="C34" s="8" t="s">
        <v>246</v>
      </c>
      <c r="D34" s="8" t="s">
        <v>247</v>
      </c>
      <c r="E34" s="8" t="s">
        <v>66</v>
      </c>
      <c r="F34" s="8" t="s">
        <v>86</v>
      </c>
      <c r="G34" s="8" t="s">
        <v>248</v>
      </c>
      <c r="H34" s="8" t="s">
        <v>249</v>
      </c>
      <c r="I34" s="8" t="s">
        <v>250</v>
      </c>
      <c r="J34" s="8" t="s">
        <v>57</v>
      </c>
      <c r="K34" s="8"/>
      <c r="L34" s="8"/>
      <c r="M34" s="8"/>
    </row>
    <row r="35" customFormat="false" ht="51.75" hidden="false" customHeight="true" outlineLevel="0" collapsed="false">
      <c r="A35" s="9" t="s">
        <v>251</v>
      </c>
      <c r="B35" s="9" t="s">
        <v>252</v>
      </c>
      <c r="C35" s="9" t="s">
        <v>246</v>
      </c>
      <c r="D35" s="9" t="s">
        <v>253</v>
      </c>
      <c r="E35" s="9" t="s">
        <v>66</v>
      </c>
      <c r="F35" s="9" t="s">
        <v>86</v>
      </c>
      <c r="G35" s="9" t="s">
        <v>248</v>
      </c>
      <c r="H35" s="9" t="s">
        <v>254</v>
      </c>
      <c r="I35" s="9" t="s">
        <v>255</v>
      </c>
      <c r="J35" s="9" t="s">
        <v>57</v>
      </c>
      <c r="K35" s="9"/>
      <c r="L35" s="9"/>
      <c r="M35" s="9"/>
    </row>
    <row r="36" customFormat="false" ht="66" hidden="false" customHeight="true" outlineLevel="0" collapsed="false">
      <c r="A36" s="8" t="s">
        <v>256</v>
      </c>
      <c r="B36" s="8" t="s">
        <v>257</v>
      </c>
      <c r="C36" s="8" t="s">
        <v>246</v>
      </c>
      <c r="D36" s="8" t="s">
        <v>258</v>
      </c>
      <c r="E36" s="8" t="s">
        <v>66</v>
      </c>
      <c r="F36" s="8" t="s">
        <v>86</v>
      </c>
      <c r="G36" s="8" t="s">
        <v>259</v>
      </c>
      <c r="H36" s="8" t="s">
        <v>260</v>
      </c>
      <c r="I36" s="8" t="s">
        <v>261</v>
      </c>
      <c r="J36" s="8" t="s">
        <v>57</v>
      </c>
      <c r="K36" s="8"/>
      <c r="L36" s="8"/>
      <c r="M36" s="8"/>
    </row>
    <row r="37" customFormat="false" ht="66" hidden="false" customHeight="true" outlineLevel="0" collapsed="false">
      <c r="A37" s="9" t="s">
        <v>262</v>
      </c>
      <c r="B37" s="9" t="s">
        <v>263</v>
      </c>
      <c r="C37" s="9" t="s">
        <v>246</v>
      </c>
      <c r="D37" s="9" t="s">
        <v>264</v>
      </c>
      <c r="E37" s="9" t="s">
        <v>52</v>
      </c>
      <c r="F37" s="9" t="s">
        <v>53</v>
      </c>
      <c r="G37" s="9" t="s">
        <v>265</v>
      </c>
      <c r="H37" s="9" t="s">
        <v>266</v>
      </c>
      <c r="I37" s="9" t="s">
        <v>267</v>
      </c>
      <c r="J37" s="9" t="s">
        <v>57</v>
      </c>
      <c r="K37" s="9"/>
      <c r="L37" s="9"/>
      <c r="M37" s="9"/>
    </row>
    <row r="38" customFormat="false" ht="66" hidden="false" customHeight="true" outlineLevel="0" collapsed="false">
      <c r="A38" s="8" t="s">
        <v>268</v>
      </c>
      <c r="B38" s="8" t="s">
        <v>269</v>
      </c>
      <c r="C38" s="8" t="s">
        <v>246</v>
      </c>
      <c r="D38" s="8" t="s">
        <v>270</v>
      </c>
      <c r="E38" s="8" t="s">
        <v>66</v>
      </c>
      <c r="F38" s="8" t="s">
        <v>86</v>
      </c>
      <c r="G38" s="8" t="s">
        <v>271</v>
      </c>
      <c r="H38" s="8" t="s">
        <v>272</v>
      </c>
      <c r="I38" s="8" t="s">
        <v>273</v>
      </c>
      <c r="J38" s="8" t="s">
        <v>57</v>
      </c>
      <c r="K38" s="8"/>
      <c r="L38" s="8"/>
      <c r="M38" s="8"/>
    </row>
    <row r="39" customFormat="false" ht="51.75" hidden="false" customHeight="true" outlineLevel="0" collapsed="false">
      <c r="A39" s="9" t="s">
        <v>274</v>
      </c>
      <c r="B39" s="9" t="s">
        <v>275</v>
      </c>
      <c r="C39" s="9" t="s">
        <v>246</v>
      </c>
      <c r="D39" s="9" t="s">
        <v>276</v>
      </c>
      <c r="E39" s="9" t="s">
        <v>66</v>
      </c>
      <c r="F39" s="9" t="s">
        <v>86</v>
      </c>
      <c r="G39" s="9" t="s">
        <v>277</v>
      </c>
      <c r="H39" s="9" t="s">
        <v>278</v>
      </c>
      <c r="I39" s="9" t="s">
        <v>279</v>
      </c>
      <c r="J39" s="9" t="s">
        <v>57</v>
      </c>
      <c r="K39" s="9"/>
      <c r="L39" s="9"/>
      <c r="M39" s="9"/>
    </row>
    <row r="40" customFormat="false" ht="51.75" hidden="false" customHeight="true" outlineLevel="0" collapsed="false">
      <c r="A40" s="8" t="s">
        <v>280</v>
      </c>
      <c r="B40" s="8" t="s">
        <v>281</v>
      </c>
      <c r="C40" s="8" t="s">
        <v>246</v>
      </c>
      <c r="D40" s="8" t="s">
        <v>282</v>
      </c>
      <c r="E40" s="8" t="s">
        <v>66</v>
      </c>
      <c r="F40" s="8" t="s">
        <v>86</v>
      </c>
      <c r="G40" s="8" t="s">
        <v>283</v>
      </c>
      <c r="H40" s="8" t="s">
        <v>284</v>
      </c>
      <c r="I40" s="8" t="s">
        <v>285</v>
      </c>
      <c r="J40" s="8" t="s">
        <v>57</v>
      </c>
      <c r="K40" s="8"/>
      <c r="L40" s="8"/>
      <c r="M40" s="8"/>
    </row>
    <row r="41" customFormat="false" ht="51.75" hidden="false" customHeight="true" outlineLevel="0" collapsed="false">
      <c r="A41" s="9" t="s">
        <v>286</v>
      </c>
      <c r="B41" s="9" t="s">
        <v>287</v>
      </c>
      <c r="C41" s="9" t="s">
        <v>288</v>
      </c>
      <c r="D41" s="9" t="s">
        <v>289</v>
      </c>
      <c r="E41" s="9" t="s">
        <v>66</v>
      </c>
      <c r="F41" s="9" t="s">
        <v>53</v>
      </c>
      <c r="G41" s="9" t="s">
        <v>290</v>
      </c>
      <c r="H41" s="9" t="s">
        <v>291</v>
      </c>
      <c r="I41" s="9" t="s">
        <v>292</v>
      </c>
      <c r="J41" s="9" t="s">
        <v>57</v>
      </c>
      <c r="K41" s="9"/>
      <c r="L41" s="9"/>
      <c r="M41" s="9"/>
    </row>
    <row r="42" customFormat="false" ht="66" hidden="false" customHeight="true" outlineLevel="0" collapsed="false">
      <c r="A42" s="8" t="s">
        <v>293</v>
      </c>
      <c r="B42" s="8" t="s">
        <v>294</v>
      </c>
      <c r="C42" s="8" t="s">
        <v>288</v>
      </c>
      <c r="D42" s="8" t="s">
        <v>295</v>
      </c>
      <c r="E42" s="8" t="s">
        <v>52</v>
      </c>
      <c r="F42" s="8" t="s">
        <v>53</v>
      </c>
      <c r="G42" s="8" t="s">
        <v>296</v>
      </c>
      <c r="H42" s="8" t="s">
        <v>297</v>
      </c>
      <c r="I42" s="8" t="s">
        <v>298</v>
      </c>
      <c r="J42" s="8" t="s">
        <v>57</v>
      </c>
      <c r="K42" s="8"/>
      <c r="L42" s="8"/>
      <c r="M42" s="8"/>
    </row>
    <row r="43" customFormat="false" ht="51.75" hidden="false" customHeight="true" outlineLevel="0" collapsed="false">
      <c r="A43" s="9" t="s">
        <v>299</v>
      </c>
      <c r="B43" s="9" t="s">
        <v>300</v>
      </c>
      <c r="C43" s="9" t="s">
        <v>288</v>
      </c>
      <c r="D43" s="9" t="s">
        <v>301</v>
      </c>
      <c r="E43" s="9" t="s">
        <v>66</v>
      </c>
      <c r="F43" s="9" t="s">
        <v>86</v>
      </c>
      <c r="G43" s="9" t="s">
        <v>302</v>
      </c>
      <c r="H43" s="9" t="s">
        <v>297</v>
      </c>
      <c r="I43" s="9" t="s">
        <v>303</v>
      </c>
      <c r="J43" s="9" t="s">
        <v>57</v>
      </c>
      <c r="K43" s="9"/>
      <c r="L43" s="9"/>
      <c r="M43" s="9"/>
    </row>
    <row r="44" customFormat="false" ht="51.75" hidden="false" customHeight="true" outlineLevel="0" collapsed="false">
      <c r="A44" s="8" t="s">
        <v>304</v>
      </c>
      <c r="B44" s="8" t="s">
        <v>305</v>
      </c>
      <c r="C44" s="8" t="s">
        <v>288</v>
      </c>
      <c r="D44" s="8" t="s">
        <v>306</v>
      </c>
      <c r="E44" s="8" t="s">
        <v>66</v>
      </c>
      <c r="F44" s="8" t="s">
        <v>86</v>
      </c>
      <c r="G44" s="8" t="s">
        <v>307</v>
      </c>
      <c r="H44" s="8" t="s">
        <v>308</v>
      </c>
      <c r="I44" s="8" t="s">
        <v>309</v>
      </c>
      <c r="J44" s="8" t="s">
        <v>57</v>
      </c>
      <c r="K44" s="8"/>
      <c r="L44" s="8"/>
      <c r="M44" s="8"/>
    </row>
    <row r="45" customFormat="false" ht="79.5" hidden="false" customHeight="true" outlineLevel="0" collapsed="false">
      <c r="A45" s="9" t="s">
        <v>310</v>
      </c>
      <c r="B45" s="9" t="s">
        <v>311</v>
      </c>
      <c r="C45" s="9" t="s">
        <v>288</v>
      </c>
      <c r="D45" s="9" t="s">
        <v>312</v>
      </c>
      <c r="E45" s="9" t="s">
        <v>66</v>
      </c>
      <c r="F45" s="9" t="s">
        <v>53</v>
      </c>
      <c r="G45" s="9" t="s">
        <v>313</v>
      </c>
      <c r="H45" s="9" t="s">
        <v>314</v>
      </c>
      <c r="I45" s="9" t="s">
        <v>315</v>
      </c>
      <c r="J45" s="9" t="s">
        <v>57</v>
      </c>
      <c r="K45" s="9"/>
      <c r="L45" s="9"/>
      <c r="M45" s="9"/>
    </row>
    <row r="46" customFormat="false" ht="66" hidden="false" customHeight="true" outlineLevel="0" collapsed="false">
      <c r="A46" s="8" t="s">
        <v>316</v>
      </c>
      <c r="B46" s="8" t="s">
        <v>317</v>
      </c>
      <c r="C46" s="8" t="s">
        <v>288</v>
      </c>
      <c r="D46" s="8" t="s">
        <v>318</v>
      </c>
      <c r="E46" s="8" t="s">
        <v>66</v>
      </c>
      <c r="F46" s="8" t="s">
        <v>86</v>
      </c>
      <c r="G46" s="8" t="s">
        <v>319</v>
      </c>
      <c r="H46" s="8" t="s">
        <v>320</v>
      </c>
      <c r="I46" s="8" t="s">
        <v>321</v>
      </c>
      <c r="J46" s="8" t="s">
        <v>57</v>
      </c>
      <c r="K46" s="8"/>
      <c r="L46" s="8"/>
      <c r="M46" s="8"/>
    </row>
    <row r="47" customFormat="false" ht="37.5" hidden="false" customHeight="true" outlineLevel="0" collapsed="false">
      <c r="A47" s="9" t="s">
        <v>322</v>
      </c>
      <c r="B47" s="9" t="s">
        <v>323</v>
      </c>
      <c r="C47" s="9" t="s">
        <v>288</v>
      </c>
      <c r="D47" s="9" t="s">
        <v>324</v>
      </c>
      <c r="E47" s="9" t="s">
        <v>325</v>
      </c>
      <c r="F47" s="9" t="s">
        <v>53</v>
      </c>
      <c r="G47" s="9" t="s">
        <v>326</v>
      </c>
      <c r="H47" s="9" t="s">
        <v>327</v>
      </c>
      <c r="I47" s="9" t="s">
        <v>328</v>
      </c>
      <c r="J47" s="9" t="s">
        <v>57</v>
      </c>
      <c r="K47" s="9"/>
      <c r="L47" s="9"/>
      <c r="M47" s="9"/>
    </row>
    <row r="48" customFormat="false" ht="51.75" hidden="false" customHeight="true" outlineLevel="0" collapsed="false">
      <c r="A48" s="8" t="s">
        <v>329</v>
      </c>
      <c r="B48" s="8" t="s">
        <v>330</v>
      </c>
      <c r="C48" s="8" t="s">
        <v>331</v>
      </c>
      <c r="D48" s="8" t="s">
        <v>332</v>
      </c>
      <c r="E48" s="8" t="s">
        <v>66</v>
      </c>
      <c r="F48" s="8" t="s">
        <v>86</v>
      </c>
      <c r="G48" s="8" t="s">
        <v>333</v>
      </c>
      <c r="H48" s="8" t="s">
        <v>334</v>
      </c>
      <c r="I48" s="8" t="s">
        <v>335</v>
      </c>
      <c r="J48" s="8" t="s">
        <v>57</v>
      </c>
      <c r="K48" s="8"/>
      <c r="L48" s="8"/>
      <c r="M48" s="8"/>
    </row>
    <row r="49" customFormat="false" ht="66" hidden="false" customHeight="true" outlineLevel="0" collapsed="false">
      <c r="A49" s="9" t="s">
        <v>336</v>
      </c>
      <c r="B49" s="9" t="s">
        <v>337</v>
      </c>
      <c r="C49" s="9" t="s">
        <v>331</v>
      </c>
      <c r="D49" s="9" t="s">
        <v>338</v>
      </c>
      <c r="E49" s="9" t="s">
        <v>66</v>
      </c>
      <c r="F49" s="9" t="s">
        <v>53</v>
      </c>
      <c r="G49" s="9" t="s">
        <v>339</v>
      </c>
      <c r="H49" s="9" t="s">
        <v>340</v>
      </c>
      <c r="I49" s="9" t="s">
        <v>341</v>
      </c>
      <c r="J49" s="9" t="s">
        <v>57</v>
      </c>
      <c r="K49" s="9"/>
      <c r="L49" s="9"/>
      <c r="M49" s="9"/>
    </row>
    <row r="50" customFormat="false" ht="51.75" hidden="false" customHeight="true" outlineLevel="0" collapsed="false">
      <c r="A50" s="8" t="s">
        <v>342</v>
      </c>
      <c r="B50" s="8" t="s">
        <v>343</v>
      </c>
      <c r="C50" s="8" t="s">
        <v>331</v>
      </c>
      <c r="D50" s="8" t="s">
        <v>344</v>
      </c>
      <c r="E50" s="8" t="s">
        <v>66</v>
      </c>
      <c r="F50" s="8" t="s">
        <v>86</v>
      </c>
      <c r="G50" s="8" t="s">
        <v>345</v>
      </c>
      <c r="H50" s="8" t="s">
        <v>346</v>
      </c>
      <c r="I50" s="8" t="s">
        <v>347</v>
      </c>
      <c r="J50" s="8" t="s">
        <v>57</v>
      </c>
      <c r="K50" s="8"/>
      <c r="L50" s="8"/>
      <c r="M50" s="8"/>
    </row>
    <row r="51" customFormat="false" ht="79.5" hidden="false" customHeight="true" outlineLevel="0" collapsed="false">
      <c r="A51" s="9" t="s">
        <v>348</v>
      </c>
      <c r="B51" s="9" t="s">
        <v>349</v>
      </c>
      <c r="C51" s="9" t="s">
        <v>331</v>
      </c>
      <c r="D51" s="9" t="s">
        <v>350</v>
      </c>
      <c r="E51" s="9" t="s">
        <v>52</v>
      </c>
      <c r="F51" s="9" t="s">
        <v>53</v>
      </c>
      <c r="G51" s="9" t="s">
        <v>351</v>
      </c>
      <c r="H51" s="9" t="s">
        <v>352</v>
      </c>
      <c r="I51" s="9" t="s">
        <v>353</v>
      </c>
      <c r="J51" s="9" t="s">
        <v>57</v>
      </c>
      <c r="K51" s="9"/>
      <c r="L51" s="9"/>
      <c r="M51" s="9"/>
    </row>
    <row r="52" customFormat="false" ht="37.5" hidden="false" customHeight="true" outlineLevel="0" collapsed="false">
      <c r="A52" s="8" t="s">
        <v>354</v>
      </c>
      <c r="B52" s="8" t="s">
        <v>355</v>
      </c>
      <c r="C52" s="8" t="s">
        <v>331</v>
      </c>
      <c r="D52" s="8" t="s">
        <v>356</v>
      </c>
      <c r="E52" s="8" t="s">
        <v>66</v>
      </c>
      <c r="F52" s="8" t="s">
        <v>53</v>
      </c>
      <c r="G52" s="8" t="s">
        <v>357</v>
      </c>
      <c r="H52" s="8" t="s">
        <v>358</v>
      </c>
      <c r="I52" s="8" t="s">
        <v>359</v>
      </c>
      <c r="J52" s="8" t="s">
        <v>57</v>
      </c>
      <c r="K52" s="8"/>
      <c r="L52" s="8"/>
      <c r="M52" s="8"/>
    </row>
    <row r="53" customFormat="false" ht="79.5" hidden="false" customHeight="true" outlineLevel="0" collapsed="false">
      <c r="A53" s="9" t="s">
        <v>360</v>
      </c>
      <c r="B53" s="9" t="s">
        <v>361</v>
      </c>
      <c r="C53" s="9" t="s">
        <v>331</v>
      </c>
      <c r="D53" s="9" t="s">
        <v>362</v>
      </c>
      <c r="E53" s="9" t="s">
        <v>66</v>
      </c>
      <c r="F53" s="9" t="s">
        <v>86</v>
      </c>
      <c r="G53" s="9" t="s">
        <v>357</v>
      </c>
      <c r="H53" s="9" t="s">
        <v>363</v>
      </c>
      <c r="I53" s="9" t="s">
        <v>364</v>
      </c>
      <c r="J53" s="9" t="s">
        <v>57</v>
      </c>
      <c r="K53" s="9"/>
      <c r="L53" s="9"/>
      <c r="M53" s="9"/>
    </row>
    <row r="54" customFormat="false" ht="51.75" hidden="false" customHeight="true" outlineLevel="0" collapsed="false">
      <c r="A54" s="8" t="s">
        <v>365</v>
      </c>
      <c r="B54" s="8" t="s">
        <v>366</v>
      </c>
      <c r="C54" s="8" t="s">
        <v>367</v>
      </c>
      <c r="D54" s="8" t="s">
        <v>368</v>
      </c>
      <c r="E54" s="8" t="s">
        <v>66</v>
      </c>
      <c r="F54" s="8" t="s">
        <v>53</v>
      </c>
      <c r="G54" s="8" t="s">
        <v>369</v>
      </c>
      <c r="H54" s="8" t="s">
        <v>370</v>
      </c>
      <c r="I54" s="8" t="s">
        <v>371</v>
      </c>
      <c r="J54" s="8" t="s">
        <v>57</v>
      </c>
      <c r="K54" s="8"/>
      <c r="L54" s="8"/>
      <c r="M54" s="8"/>
    </row>
    <row r="55" customFormat="false" ht="93.75" hidden="false" customHeight="true" outlineLevel="0" collapsed="false">
      <c r="A55" s="9" t="s">
        <v>372</v>
      </c>
      <c r="B55" s="9" t="s">
        <v>373</v>
      </c>
      <c r="C55" s="9" t="s">
        <v>367</v>
      </c>
      <c r="D55" s="9" t="s">
        <v>374</v>
      </c>
      <c r="E55" s="9" t="s">
        <v>52</v>
      </c>
      <c r="F55" s="9" t="s">
        <v>53</v>
      </c>
      <c r="G55" s="9" t="s">
        <v>375</v>
      </c>
      <c r="H55" s="9" t="s">
        <v>376</v>
      </c>
      <c r="I55" s="9" t="s">
        <v>377</v>
      </c>
      <c r="J55" s="9" t="s">
        <v>57</v>
      </c>
      <c r="K55" s="9"/>
      <c r="L55" s="9"/>
      <c r="M55" s="9"/>
    </row>
    <row r="56" customFormat="false" ht="37.5" hidden="false" customHeight="true" outlineLevel="0" collapsed="false">
      <c r="A56" s="8" t="s">
        <v>378</v>
      </c>
      <c r="B56" s="8" t="s">
        <v>379</v>
      </c>
      <c r="C56" s="8" t="s">
        <v>367</v>
      </c>
      <c r="D56" s="8" t="s">
        <v>380</v>
      </c>
      <c r="E56" s="8" t="s">
        <v>66</v>
      </c>
      <c r="F56" s="8" t="s">
        <v>86</v>
      </c>
      <c r="G56" s="8" t="s">
        <v>381</v>
      </c>
      <c r="H56" s="8" t="s">
        <v>382</v>
      </c>
      <c r="I56" s="8" t="s">
        <v>383</v>
      </c>
      <c r="J56" s="8" t="s">
        <v>57</v>
      </c>
      <c r="K56" s="8"/>
      <c r="L56" s="8"/>
      <c r="M56" s="8"/>
    </row>
    <row r="57" customFormat="false" ht="51.75" hidden="false" customHeight="true" outlineLevel="0" collapsed="false">
      <c r="A57" s="9" t="s">
        <v>384</v>
      </c>
      <c r="B57" s="9" t="s">
        <v>385</v>
      </c>
      <c r="C57" s="9" t="s">
        <v>367</v>
      </c>
      <c r="D57" s="9" t="s">
        <v>386</v>
      </c>
      <c r="E57" s="9" t="s">
        <v>66</v>
      </c>
      <c r="F57" s="9" t="s">
        <v>86</v>
      </c>
      <c r="G57" s="9" t="s">
        <v>333</v>
      </c>
      <c r="H57" s="9" t="s">
        <v>387</v>
      </c>
      <c r="I57" s="9" t="s">
        <v>388</v>
      </c>
      <c r="J57" s="9" t="s">
        <v>57</v>
      </c>
      <c r="K57" s="9"/>
      <c r="L57" s="9"/>
      <c r="M57" s="9"/>
    </row>
    <row r="58" customFormat="false" ht="51.75" hidden="false" customHeight="true" outlineLevel="0" collapsed="false">
      <c r="A58" s="8" t="s">
        <v>389</v>
      </c>
      <c r="B58" s="8" t="s">
        <v>390</v>
      </c>
      <c r="C58" s="8" t="s">
        <v>367</v>
      </c>
      <c r="D58" s="8" t="s">
        <v>391</v>
      </c>
      <c r="E58" s="8" t="s">
        <v>66</v>
      </c>
      <c r="F58" s="8" t="s">
        <v>86</v>
      </c>
      <c r="G58" s="8" t="s">
        <v>392</v>
      </c>
      <c r="H58" s="8" t="s">
        <v>393</v>
      </c>
      <c r="I58" s="8" t="s">
        <v>394</v>
      </c>
      <c r="J58" s="8" t="s">
        <v>57</v>
      </c>
      <c r="K58" s="8"/>
      <c r="L58" s="8"/>
      <c r="M58" s="8"/>
    </row>
    <row r="59" customFormat="false" ht="37.5" hidden="false" customHeight="true" outlineLevel="0" collapsed="false">
      <c r="A59" s="9" t="s">
        <v>395</v>
      </c>
      <c r="B59" s="9" t="s">
        <v>396</v>
      </c>
      <c r="C59" s="9" t="s">
        <v>367</v>
      </c>
      <c r="D59" s="9" t="s">
        <v>397</v>
      </c>
      <c r="E59" s="9" t="s">
        <v>66</v>
      </c>
      <c r="F59" s="9" t="s">
        <v>86</v>
      </c>
      <c r="G59" s="9" t="s">
        <v>392</v>
      </c>
      <c r="H59" s="9" t="s">
        <v>398</v>
      </c>
      <c r="I59" s="9" t="s">
        <v>399</v>
      </c>
      <c r="J59" s="9" t="s">
        <v>57</v>
      </c>
      <c r="K59" s="9"/>
      <c r="L59" s="9"/>
      <c r="M59" s="9"/>
    </row>
    <row r="60" customFormat="false" ht="93.75" hidden="false" customHeight="true" outlineLevel="0" collapsed="false">
      <c r="A60" s="8" t="s">
        <v>400</v>
      </c>
      <c r="B60" s="8" t="s">
        <v>401</v>
      </c>
      <c r="C60" s="8" t="s">
        <v>367</v>
      </c>
      <c r="D60" s="8" t="s">
        <v>402</v>
      </c>
      <c r="E60" s="8" t="s">
        <v>52</v>
      </c>
      <c r="F60" s="8" t="s">
        <v>53</v>
      </c>
      <c r="G60" s="8" t="s">
        <v>403</v>
      </c>
      <c r="H60" s="8" t="s">
        <v>404</v>
      </c>
      <c r="I60" s="8" t="s">
        <v>405</v>
      </c>
      <c r="J60" s="8" t="s">
        <v>57</v>
      </c>
      <c r="K60" s="8"/>
      <c r="L60" s="8"/>
      <c r="M60" s="8"/>
    </row>
    <row r="61" customFormat="false" ht="51.75" hidden="false" customHeight="true" outlineLevel="0" collapsed="false">
      <c r="A61" s="9" t="s">
        <v>406</v>
      </c>
      <c r="B61" s="9" t="s">
        <v>407</v>
      </c>
      <c r="C61" s="9" t="s">
        <v>408</v>
      </c>
      <c r="D61" s="9" t="s">
        <v>409</v>
      </c>
      <c r="E61" s="9" t="s">
        <v>66</v>
      </c>
      <c r="F61" s="9" t="s">
        <v>53</v>
      </c>
      <c r="G61" s="9" t="s">
        <v>410</v>
      </c>
      <c r="H61" s="9" t="s">
        <v>411</v>
      </c>
      <c r="I61" s="9" t="s">
        <v>412</v>
      </c>
      <c r="J61" s="9" t="s">
        <v>57</v>
      </c>
      <c r="K61" s="9"/>
      <c r="L61" s="9"/>
      <c r="M61" s="9"/>
    </row>
    <row r="62" customFormat="false" ht="66" hidden="false" customHeight="true" outlineLevel="0" collapsed="false">
      <c r="A62" s="8" t="s">
        <v>413</v>
      </c>
      <c r="B62" s="8" t="s">
        <v>414</v>
      </c>
      <c r="C62" s="8" t="s">
        <v>408</v>
      </c>
      <c r="D62" s="8" t="s">
        <v>415</v>
      </c>
      <c r="E62" s="8" t="s">
        <v>66</v>
      </c>
      <c r="F62" s="8" t="s">
        <v>53</v>
      </c>
      <c r="G62" s="8" t="s">
        <v>416</v>
      </c>
      <c r="H62" s="8" t="s">
        <v>417</v>
      </c>
      <c r="I62" s="8" t="s">
        <v>418</v>
      </c>
      <c r="J62" s="8" t="s">
        <v>57</v>
      </c>
      <c r="K62" s="8"/>
      <c r="L62" s="8"/>
      <c r="M62" s="8"/>
    </row>
    <row r="63" customFormat="false" ht="66" hidden="false" customHeight="true" outlineLevel="0" collapsed="false">
      <c r="A63" s="9" t="s">
        <v>419</v>
      </c>
      <c r="B63" s="9" t="s">
        <v>420</v>
      </c>
      <c r="C63" s="9" t="s">
        <v>408</v>
      </c>
      <c r="D63" s="9" t="s">
        <v>421</v>
      </c>
      <c r="E63" s="9" t="s">
        <v>66</v>
      </c>
      <c r="F63" s="9" t="s">
        <v>53</v>
      </c>
      <c r="G63" s="9" t="s">
        <v>422</v>
      </c>
      <c r="H63" s="9" t="s">
        <v>423</v>
      </c>
      <c r="I63" s="9" t="s">
        <v>424</v>
      </c>
      <c r="J63" s="9" t="s">
        <v>57</v>
      </c>
      <c r="K63" s="9"/>
      <c r="L63" s="9"/>
      <c r="M63" s="9"/>
    </row>
    <row r="64" customFormat="false" ht="66" hidden="false" customHeight="true" outlineLevel="0" collapsed="false">
      <c r="A64" s="8" t="s">
        <v>425</v>
      </c>
      <c r="B64" s="8" t="s">
        <v>426</v>
      </c>
      <c r="C64" s="8" t="s">
        <v>408</v>
      </c>
      <c r="D64" s="8" t="s">
        <v>427</v>
      </c>
      <c r="E64" s="8" t="s">
        <v>428</v>
      </c>
      <c r="F64" s="8" t="s">
        <v>86</v>
      </c>
      <c r="G64" s="8" t="s">
        <v>429</v>
      </c>
      <c r="H64" s="8" t="s">
        <v>430</v>
      </c>
      <c r="I64" s="8" t="s">
        <v>431</v>
      </c>
      <c r="J64" s="8" t="s">
        <v>57</v>
      </c>
      <c r="K64" s="8"/>
      <c r="L64" s="8"/>
      <c r="M64" s="8"/>
    </row>
    <row r="65" customFormat="false" ht="51.75" hidden="false" customHeight="true" outlineLevel="0" collapsed="false">
      <c r="A65" s="9" t="s">
        <v>432</v>
      </c>
      <c r="B65" s="9" t="s">
        <v>433</v>
      </c>
      <c r="C65" s="9" t="s">
        <v>408</v>
      </c>
      <c r="D65" s="9" t="s">
        <v>434</v>
      </c>
      <c r="E65" s="9" t="s">
        <v>66</v>
      </c>
      <c r="F65" s="9" t="s">
        <v>86</v>
      </c>
      <c r="G65" s="9" t="s">
        <v>435</v>
      </c>
      <c r="H65" s="9" t="s">
        <v>436</v>
      </c>
      <c r="I65" s="9" t="s">
        <v>437</v>
      </c>
      <c r="J65" s="9" t="s">
        <v>57</v>
      </c>
      <c r="K65" s="9"/>
      <c r="L65" s="9"/>
      <c r="M65" s="9"/>
    </row>
    <row r="66" customFormat="false" ht="37.5" hidden="false" customHeight="true" outlineLevel="0" collapsed="false">
      <c r="A66" s="8" t="s">
        <v>438</v>
      </c>
      <c r="B66" s="8" t="s">
        <v>439</v>
      </c>
      <c r="C66" s="8" t="s">
        <v>440</v>
      </c>
      <c r="D66" s="8" t="s">
        <v>441</v>
      </c>
      <c r="E66" s="8" t="s">
        <v>66</v>
      </c>
      <c r="F66" s="8" t="s">
        <v>53</v>
      </c>
      <c r="G66" s="8" t="s">
        <v>442</v>
      </c>
      <c r="H66" s="8" t="s">
        <v>443</v>
      </c>
      <c r="I66" s="8" t="s">
        <v>444</v>
      </c>
      <c r="J66" s="8" t="s">
        <v>57</v>
      </c>
      <c r="K66" s="8"/>
      <c r="L66" s="8"/>
      <c r="M66" s="8"/>
    </row>
    <row r="67" customFormat="false" ht="37.5" hidden="false" customHeight="true" outlineLevel="0" collapsed="false">
      <c r="A67" s="9" t="s">
        <v>445</v>
      </c>
      <c r="B67" s="9" t="s">
        <v>446</v>
      </c>
      <c r="C67" s="9" t="s">
        <v>440</v>
      </c>
      <c r="D67" s="9" t="s">
        <v>447</v>
      </c>
      <c r="E67" s="9" t="s">
        <v>66</v>
      </c>
      <c r="F67" s="9" t="s">
        <v>53</v>
      </c>
      <c r="G67" s="9" t="s">
        <v>442</v>
      </c>
      <c r="H67" s="9" t="s">
        <v>448</v>
      </c>
      <c r="I67" s="9" t="s">
        <v>449</v>
      </c>
      <c r="J67" s="9" t="s">
        <v>57</v>
      </c>
      <c r="K67" s="9"/>
      <c r="L67" s="9"/>
      <c r="M67" s="9"/>
    </row>
    <row r="68" customFormat="false" ht="37.5" hidden="false" customHeight="true" outlineLevel="0" collapsed="false">
      <c r="A68" s="8" t="s">
        <v>450</v>
      </c>
      <c r="B68" s="8" t="s">
        <v>451</v>
      </c>
      <c r="C68" s="8" t="s">
        <v>440</v>
      </c>
      <c r="D68" s="8" t="s">
        <v>452</v>
      </c>
      <c r="E68" s="8" t="s">
        <v>66</v>
      </c>
      <c r="F68" s="8" t="s">
        <v>86</v>
      </c>
      <c r="G68" s="8" t="s">
        <v>442</v>
      </c>
      <c r="H68" s="8" t="s">
        <v>453</v>
      </c>
      <c r="I68" s="8" t="s">
        <v>454</v>
      </c>
      <c r="J68" s="8" t="s">
        <v>57</v>
      </c>
      <c r="K68" s="8"/>
      <c r="L68" s="8"/>
      <c r="M68" s="8"/>
    </row>
    <row r="69" customFormat="false" ht="51.75" hidden="false" customHeight="true" outlineLevel="0" collapsed="false">
      <c r="A69" s="9" t="s">
        <v>455</v>
      </c>
      <c r="B69" s="9" t="s">
        <v>456</v>
      </c>
      <c r="C69" s="9" t="s">
        <v>440</v>
      </c>
      <c r="D69" s="9" t="s">
        <v>457</v>
      </c>
      <c r="E69" s="9" t="s">
        <v>66</v>
      </c>
      <c r="F69" s="9" t="s">
        <v>53</v>
      </c>
      <c r="G69" s="9" t="s">
        <v>458</v>
      </c>
      <c r="H69" s="9" t="s">
        <v>459</v>
      </c>
      <c r="I69" s="9" t="s">
        <v>460</v>
      </c>
      <c r="J69" s="9" t="s">
        <v>57</v>
      </c>
      <c r="K69" s="9"/>
      <c r="L69" s="9"/>
      <c r="M69" s="9"/>
    </row>
    <row r="70" customFormat="false" ht="37.5" hidden="false" customHeight="true" outlineLevel="0" collapsed="false">
      <c r="A70" s="8" t="s">
        <v>461</v>
      </c>
      <c r="B70" s="8" t="s">
        <v>462</v>
      </c>
      <c r="C70" s="8" t="s">
        <v>463</v>
      </c>
      <c r="D70" s="8" t="s">
        <v>464</v>
      </c>
      <c r="E70" s="8" t="s">
        <v>66</v>
      </c>
      <c r="F70" s="8" t="s">
        <v>86</v>
      </c>
      <c r="G70" s="8" t="s">
        <v>465</v>
      </c>
      <c r="H70" s="8" t="s">
        <v>466</v>
      </c>
      <c r="I70" s="8" t="s">
        <v>467</v>
      </c>
      <c r="J70" s="8" t="s">
        <v>57</v>
      </c>
      <c r="K70" s="8"/>
      <c r="L70" s="8"/>
      <c r="M70" s="8"/>
    </row>
    <row r="71" customFormat="false" ht="93.75" hidden="false" customHeight="true" outlineLevel="0" collapsed="false">
      <c r="A71" s="9" t="s">
        <v>468</v>
      </c>
      <c r="B71" s="9" t="s">
        <v>469</v>
      </c>
      <c r="C71" s="9" t="s">
        <v>463</v>
      </c>
      <c r="D71" s="9" t="s">
        <v>470</v>
      </c>
      <c r="E71" s="9" t="s">
        <v>66</v>
      </c>
      <c r="F71" s="9" t="s">
        <v>86</v>
      </c>
      <c r="G71" s="9" t="s">
        <v>471</v>
      </c>
      <c r="H71" s="9" t="s">
        <v>472</v>
      </c>
      <c r="I71" s="9" t="s">
        <v>473</v>
      </c>
      <c r="J71" s="9" t="s">
        <v>57</v>
      </c>
      <c r="K71" s="9"/>
      <c r="L71" s="9"/>
      <c r="M71" s="9"/>
    </row>
    <row r="72" customFormat="false" ht="93.75" hidden="false" customHeight="true" outlineLevel="0" collapsed="false">
      <c r="A72" s="8" t="s">
        <v>474</v>
      </c>
      <c r="B72" s="8" t="s">
        <v>475</v>
      </c>
      <c r="C72" s="8" t="s">
        <v>463</v>
      </c>
      <c r="D72" s="8" t="s">
        <v>476</v>
      </c>
      <c r="E72" s="8" t="s">
        <v>52</v>
      </c>
      <c r="F72" s="8" t="s">
        <v>86</v>
      </c>
      <c r="G72" s="8" t="s">
        <v>477</v>
      </c>
      <c r="H72" s="8" t="s">
        <v>478</v>
      </c>
      <c r="I72" s="8" t="s">
        <v>479</v>
      </c>
      <c r="J72" s="8" t="s">
        <v>57</v>
      </c>
      <c r="K72" s="8"/>
      <c r="L72" s="8"/>
      <c r="M72" s="8"/>
    </row>
    <row r="73" customFormat="false" ht="37.5" hidden="false" customHeight="true" outlineLevel="0" collapsed="false">
      <c r="A73" s="9" t="s">
        <v>480</v>
      </c>
      <c r="B73" s="9" t="s">
        <v>481</v>
      </c>
      <c r="C73" s="9" t="s">
        <v>482</v>
      </c>
      <c r="D73" s="9" t="s">
        <v>483</v>
      </c>
      <c r="E73" s="9" t="s">
        <v>325</v>
      </c>
      <c r="F73" s="9" t="s">
        <v>86</v>
      </c>
      <c r="G73" s="9" t="s">
        <v>484</v>
      </c>
      <c r="H73" s="9" t="s">
        <v>485</v>
      </c>
      <c r="I73" s="9" t="s">
        <v>486</v>
      </c>
      <c r="J73" s="9" t="s">
        <v>57</v>
      </c>
      <c r="K73" s="9"/>
      <c r="L73" s="9"/>
      <c r="M73" s="9"/>
    </row>
    <row r="74" customFormat="false" ht="66" hidden="false" customHeight="true" outlineLevel="0" collapsed="false">
      <c r="A74" s="8" t="s">
        <v>487</v>
      </c>
      <c r="B74" s="8" t="s">
        <v>481</v>
      </c>
      <c r="C74" s="8" t="s">
        <v>482</v>
      </c>
      <c r="D74" s="8" t="s">
        <v>488</v>
      </c>
      <c r="E74" s="8" t="s">
        <v>325</v>
      </c>
      <c r="F74" s="8" t="s">
        <v>53</v>
      </c>
      <c r="G74" s="8" t="s">
        <v>489</v>
      </c>
      <c r="H74" s="8" t="s">
        <v>490</v>
      </c>
      <c r="I74" s="8" t="s">
        <v>491</v>
      </c>
      <c r="J74" s="8" t="s">
        <v>57</v>
      </c>
      <c r="K74" s="8"/>
      <c r="L74" s="8"/>
      <c r="M74" s="8"/>
    </row>
    <row r="75" customFormat="false" ht="66" hidden="false" customHeight="true" outlineLevel="0" collapsed="false">
      <c r="A75" s="9" t="s">
        <v>492</v>
      </c>
      <c r="B75" s="9" t="s">
        <v>493</v>
      </c>
      <c r="C75" s="9" t="s">
        <v>494</v>
      </c>
      <c r="D75" s="9" t="s">
        <v>495</v>
      </c>
      <c r="E75" s="9" t="s">
        <v>66</v>
      </c>
      <c r="F75" s="9" t="s">
        <v>53</v>
      </c>
      <c r="G75" s="9" t="s">
        <v>496</v>
      </c>
      <c r="H75" s="9" t="s">
        <v>497</v>
      </c>
      <c r="I75" s="9" t="s">
        <v>498</v>
      </c>
      <c r="J75" s="9" t="s">
        <v>57</v>
      </c>
      <c r="K75" s="9"/>
      <c r="L75" s="9"/>
      <c r="M75" s="9"/>
    </row>
    <row r="76" customFormat="false" ht="66" hidden="false" customHeight="true" outlineLevel="0" collapsed="false">
      <c r="A76" s="8" t="s">
        <v>499</v>
      </c>
      <c r="B76" s="8" t="s">
        <v>493</v>
      </c>
      <c r="C76" s="8" t="s">
        <v>494</v>
      </c>
      <c r="D76" s="8" t="s">
        <v>500</v>
      </c>
      <c r="E76" s="8" t="s">
        <v>52</v>
      </c>
      <c r="F76" s="8" t="s">
        <v>53</v>
      </c>
      <c r="G76" s="8" t="s">
        <v>501</v>
      </c>
      <c r="H76" s="8" t="s">
        <v>502</v>
      </c>
      <c r="I76" s="8" t="s">
        <v>503</v>
      </c>
      <c r="J76" s="8" t="s">
        <v>57</v>
      </c>
      <c r="K76" s="8"/>
      <c r="L76" s="8"/>
      <c r="M76" s="8"/>
    </row>
    <row r="77" customFormat="false" ht="51.75" hidden="false" customHeight="true" outlineLevel="0" collapsed="false">
      <c r="A77" s="9" t="s">
        <v>504</v>
      </c>
      <c r="B77" s="9" t="s">
        <v>505</v>
      </c>
      <c r="C77" s="9" t="s">
        <v>506</v>
      </c>
      <c r="D77" s="9" t="s">
        <v>507</v>
      </c>
      <c r="E77" s="9" t="s">
        <v>508</v>
      </c>
      <c r="F77" s="9" t="s">
        <v>53</v>
      </c>
      <c r="G77" s="9" t="s">
        <v>509</v>
      </c>
      <c r="H77" s="9" t="s">
        <v>510</v>
      </c>
      <c r="I77" s="9" t="s">
        <v>511</v>
      </c>
      <c r="J77" s="9" t="s">
        <v>57</v>
      </c>
      <c r="K77" s="9"/>
      <c r="L77" s="9"/>
      <c r="M77" s="9"/>
    </row>
    <row r="78" customFormat="false" ht="79.5" hidden="false" customHeight="true" outlineLevel="0" collapsed="false">
      <c r="A78" s="8" t="s">
        <v>512</v>
      </c>
      <c r="B78" s="8" t="s">
        <v>505</v>
      </c>
      <c r="C78" s="8" t="s">
        <v>506</v>
      </c>
      <c r="D78" s="8" t="s">
        <v>513</v>
      </c>
      <c r="E78" s="8" t="s">
        <v>508</v>
      </c>
      <c r="F78" s="8" t="s">
        <v>53</v>
      </c>
      <c r="G78" s="8" t="s">
        <v>514</v>
      </c>
      <c r="H78" s="8" t="s">
        <v>515</v>
      </c>
      <c r="I78" s="8" t="s">
        <v>516</v>
      </c>
      <c r="J78" s="8" t="s">
        <v>57</v>
      </c>
      <c r="K78" s="8"/>
      <c r="L78" s="8"/>
      <c r="M78" s="8"/>
    </row>
    <row r="79" customFormat="false" ht="66" hidden="false" customHeight="true" outlineLevel="0" collapsed="false">
      <c r="A79" s="9" t="s">
        <v>517</v>
      </c>
      <c r="B79" s="9" t="s">
        <v>518</v>
      </c>
      <c r="C79" s="9" t="s">
        <v>519</v>
      </c>
      <c r="D79" s="9" t="s">
        <v>520</v>
      </c>
      <c r="E79" s="9" t="s">
        <v>66</v>
      </c>
      <c r="F79" s="9" t="s">
        <v>86</v>
      </c>
      <c r="G79" s="9" t="s">
        <v>521</v>
      </c>
      <c r="H79" s="9" t="s">
        <v>522</v>
      </c>
      <c r="I79" s="9" t="s">
        <v>523</v>
      </c>
      <c r="J79" s="9" t="s">
        <v>57</v>
      </c>
      <c r="K79" s="9"/>
      <c r="L79" s="9"/>
      <c r="M79" s="9"/>
    </row>
    <row r="80" customFormat="false" ht="66" hidden="false" customHeight="true" outlineLevel="0" collapsed="false">
      <c r="A80" s="8" t="s">
        <v>524</v>
      </c>
      <c r="B80" s="8" t="s">
        <v>525</v>
      </c>
      <c r="C80" s="8" t="s">
        <v>526</v>
      </c>
      <c r="D80" s="8" t="s">
        <v>527</v>
      </c>
      <c r="E80" s="8" t="s">
        <v>428</v>
      </c>
      <c r="F80" s="8" t="s">
        <v>86</v>
      </c>
      <c r="G80" s="8" t="s">
        <v>528</v>
      </c>
      <c r="H80" s="8" t="s">
        <v>529</v>
      </c>
      <c r="I80" s="8" t="s">
        <v>530</v>
      </c>
      <c r="J80" s="8" t="s">
        <v>57</v>
      </c>
      <c r="K80" s="8"/>
      <c r="L80" s="8"/>
      <c r="M80" s="8"/>
    </row>
    <row r="81" customFormat="false" ht="51.75" hidden="false" customHeight="true" outlineLevel="0" collapsed="false">
      <c r="A81" s="9" t="s">
        <v>531</v>
      </c>
      <c r="B81" s="9" t="s">
        <v>525</v>
      </c>
      <c r="C81" s="9" t="s">
        <v>526</v>
      </c>
      <c r="D81" s="9" t="s">
        <v>532</v>
      </c>
      <c r="E81" s="9" t="s">
        <v>66</v>
      </c>
      <c r="F81" s="9" t="s">
        <v>86</v>
      </c>
      <c r="G81" s="9" t="s">
        <v>533</v>
      </c>
      <c r="H81" s="9" t="s">
        <v>534</v>
      </c>
      <c r="I81" s="9" t="s">
        <v>535</v>
      </c>
      <c r="J81" s="9" t="s">
        <v>57</v>
      </c>
      <c r="K81" s="9"/>
      <c r="L81" s="9"/>
      <c r="M81" s="9"/>
    </row>
    <row r="82" customFormat="false" ht="163.5" hidden="false" customHeight="true" outlineLevel="0" collapsed="false">
      <c r="A82" s="8" t="s">
        <v>536</v>
      </c>
      <c r="B82" s="8" t="s">
        <v>537</v>
      </c>
      <c r="C82" s="8" t="s">
        <v>538</v>
      </c>
      <c r="D82" s="8" t="s">
        <v>539</v>
      </c>
      <c r="E82" s="8" t="s">
        <v>540</v>
      </c>
      <c r="F82" s="8" t="s">
        <v>53</v>
      </c>
      <c r="G82" s="8" t="s">
        <v>541</v>
      </c>
      <c r="H82" s="8" t="s">
        <v>542</v>
      </c>
      <c r="I82" s="8" t="s">
        <v>543</v>
      </c>
      <c r="J82" s="8" t="s">
        <v>57</v>
      </c>
      <c r="K82" s="8"/>
      <c r="L82" s="8"/>
      <c r="M82" s="8"/>
    </row>
    <row r="83" customFormat="false" ht="79.5" hidden="false" customHeight="true" outlineLevel="0" collapsed="false">
      <c r="A83" s="9" t="s">
        <v>544</v>
      </c>
      <c r="B83" s="9" t="s">
        <v>545</v>
      </c>
      <c r="C83" s="9" t="s">
        <v>538</v>
      </c>
      <c r="D83" s="9" t="s">
        <v>546</v>
      </c>
      <c r="E83" s="9" t="s">
        <v>540</v>
      </c>
      <c r="F83" s="9" t="s">
        <v>53</v>
      </c>
      <c r="G83" s="9" t="s">
        <v>547</v>
      </c>
      <c r="H83" s="9" t="s">
        <v>548</v>
      </c>
      <c r="I83" s="9" t="s">
        <v>549</v>
      </c>
      <c r="J83" s="9" t="s">
        <v>57</v>
      </c>
      <c r="K83" s="9"/>
      <c r="L83" s="9"/>
      <c r="M83" s="9"/>
    </row>
    <row r="84" customFormat="false" ht="108" hidden="false" customHeight="true" outlineLevel="0" collapsed="false">
      <c r="A84" s="8" t="s">
        <v>550</v>
      </c>
      <c r="B84" s="8" t="s">
        <v>551</v>
      </c>
      <c r="C84" s="8" t="s">
        <v>538</v>
      </c>
      <c r="D84" s="8" t="s">
        <v>552</v>
      </c>
      <c r="E84" s="8" t="s">
        <v>540</v>
      </c>
      <c r="F84" s="8" t="s">
        <v>53</v>
      </c>
      <c r="G84" s="8" t="s">
        <v>553</v>
      </c>
      <c r="H84" s="8" t="s">
        <v>554</v>
      </c>
      <c r="I84" s="8" t="s">
        <v>555</v>
      </c>
      <c r="J84" s="8" t="s">
        <v>57</v>
      </c>
      <c r="K84" s="8"/>
      <c r="L84" s="8"/>
      <c r="M84" s="8"/>
    </row>
    <row r="85" customFormat="false" ht="108" hidden="false" customHeight="true" outlineLevel="0" collapsed="false">
      <c r="A85" s="9" t="s">
        <v>556</v>
      </c>
      <c r="B85" s="9" t="s">
        <v>557</v>
      </c>
      <c r="C85" s="9" t="s">
        <v>538</v>
      </c>
      <c r="D85" s="9" t="s">
        <v>558</v>
      </c>
      <c r="E85" s="9" t="s">
        <v>540</v>
      </c>
      <c r="F85" s="9" t="s">
        <v>53</v>
      </c>
      <c r="G85" s="9" t="s">
        <v>559</v>
      </c>
      <c r="H85" s="9" t="s">
        <v>560</v>
      </c>
      <c r="I85" s="9" t="s">
        <v>561</v>
      </c>
      <c r="J85" s="9" t="s">
        <v>57</v>
      </c>
      <c r="K85" s="9"/>
      <c r="L85" s="9"/>
      <c r="M85" s="9"/>
    </row>
  </sheetData>
  <autoFilter ref="A1:M85"/>
  <conditionalFormatting sqref="J2:J85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8">
      <formula>"Fail"</formula>
    </cfRule>
    <cfRule type="cellIs" priority="4" operator="equal" aboveAverage="0" equalAverage="0" bottom="0" percent="0" rank="0" text="" dxfId="9">
      <formula>"Blocked"</formula>
    </cfRule>
    <cfRule type="cellIs" priority="5" operator="equal" aboveAverage="0" equalAverage="0" bottom="0" percent="0" rank="0" text="" dxfId="10">
      <formula>"Not Run"</formula>
    </cfRule>
  </conditionalFormatting>
  <conditionalFormatting sqref="F2:F85">
    <cfRule type="cellIs" priority="6" operator="equal" aboveAverage="0" equalAverage="0" bottom="0" percent="0" rank="0" text="" dxfId="11">
      <formula>"Must"</formula>
    </cfRule>
  </conditionalFormatting>
  <dataValidations count="1">
    <dataValidation allowBlank="false" error="Choose one of: Not Run, Pass, Fail, Blocked, N/A" errorStyle="stop" errorTitle="Invalid status" operator="between" showDropDown="false" showErrorMessage="false" showInputMessage="false" sqref="J2:J85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19.7" hidden="false" customHeight="false" outlineLevel="0" collapsed="false">
      <c r="A1" s="10" t="s">
        <v>562</v>
      </c>
    </row>
    <row r="2" customFormat="false" ht="15" hidden="false" customHeight="false" outlineLevel="0" collapsed="false">
      <c r="A2" s="11" t="s">
        <v>563</v>
      </c>
    </row>
    <row r="4" customFormat="false" ht="24" hidden="false" customHeight="true" outlineLevel="0" collapsed="false">
      <c r="A4" s="12" t="s">
        <v>37</v>
      </c>
      <c r="B4" s="12" t="s">
        <v>564</v>
      </c>
      <c r="C4" s="12" t="s">
        <v>565</v>
      </c>
      <c r="D4" s="12" t="s">
        <v>566</v>
      </c>
      <c r="E4" s="12" t="s">
        <v>567</v>
      </c>
      <c r="F4" s="12" t="s">
        <v>568</v>
      </c>
      <c r="G4" s="12" t="s">
        <v>569</v>
      </c>
    </row>
    <row r="5" customFormat="false" ht="15" hidden="false" customHeight="false" outlineLevel="0" collapsed="false">
      <c r="A5" s="13" t="s">
        <v>50</v>
      </c>
      <c r="B5" s="14" t="n">
        <f aca="false">COUNTIF('Test Cases'!$C$2:$C$85,A5)</f>
        <v>3</v>
      </c>
      <c r="C5" s="14" t="n">
        <f aca="false">COUNTIFS('Test Cases'!$C$2:$C$85,A5,'Test Cases'!$J$2:$J$85,"Pass")</f>
        <v>0</v>
      </c>
      <c r="D5" s="14" t="n">
        <f aca="false">COUNTIFS('Test Cases'!$C$2:$C$85,A5,'Test Cases'!$J$2:$J$85,"Fail")</f>
        <v>0</v>
      </c>
      <c r="E5" s="14" t="n">
        <f aca="false">COUNTIFS('Test Cases'!$C$2:$C$85,A5,'Test Cases'!$J$2:$J$85,"Blocked")</f>
        <v>0</v>
      </c>
      <c r="F5" s="14" t="n">
        <f aca="false">B5-C5-D5-E5</f>
        <v>3</v>
      </c>
      <c r="G5" s="15" t="n">
        <f aca="false">IFERROR(C5/B5,0)</f>
        <v>0</v>
      </c>
    </row>
    <row r="6" customFormat="false" ht="15" hidden="false" customHeight="false" outlineLevel="0" collapsed="false">
      <c r="A6" s="16" t="s">
        <v>72</v>
      </c>
      <c r="B6" s="17" t="n">
        <f aca="false">COUNTIF('Test Cases'!$C$2:$C$85,A6)</f>
        <v>8</v>
      </c>
      <c r="C6" s="17" t="n">
        <f aca="false">COUNTIFS('Test Cases'!$C$2:$C$85,A6,'Test Cases'!$J$2:$J$85,"Pass")</f>
        <v>0</v>
      </c>
      <c r="D6" s="17" t="n">
        <f aca="false">COUNTIFS('Test Cases'!$C$2:$C$85,A6,'Test Cases'!$J$2:$J$85,"Fail")</f>
        <v>0</v>
      </c>
      <c r="E6" s="17" t="n">
        <f aca="false">COUNTIFS('Test Cases'!$C$2:$C$85,A6,'Test Cases'!$J$2:$J$85,"Blocked")</f>
        <v>0</v>
      </c>
      <c r="F6" s="17" t="n">
        <f aca="false">B6-C6-D6-E6</f>
        <v>8</v>
      </c>
      <c r="G6" s="18" t="n">
        <f aca="false">IFERROR(C6/B6,0)</f>
        <v>0</v>
      </c>
    </row>
    <row r="7" customFormat="false" ht="15" hidden="false" customHeight="false" outlineLevel="0" collapsed="false">
      <c r="A7" s="13" t="s">
        <v>122</v>
      </c>
      <c r="B7" s="14" t="n">
        <f aca="false">COUNTIF('Test Cases'!$C$2:$C$85,A7)</f>
        <v>11</v>
      </c>
      <c r="C7" s="14" t="n">
        <f aca="false">COUNTIFS('Test Cases'!$C$2:$C$85,A7,'Test Cases'!$J$2:$J$85,"Pass")</f>
        <v>0</v>
      </c>
      <c r="D7" s="14" t="n">
        <f aca="false">COUNTIFS('Test Cases'!$C$2:$C$85,A7,'Test Cases'!$J$2:$J$85,"Fail")</f>
        <v>0</v>
      </c>
      <c r="E7" s="14" t="n">
        <f aca="false">COUNTIFS('Test Cases'!$C$2:$C$85,A7,'Test Cases'!$J$2:$J$85,"Blocked")</f>
        <v>0</v>
      </c>
      <c r="F7" s="14" t="n">
        <f aca="false">B7-C7-D7-E7</f>
        <v>11</v>
      </c>
      <c r="G7" s="15" t="n">
        <f aca="false">IFERROR(C7/B7,0)</f>
        <v>0</v>
      </c>
    </row>
    <row r="8" customFormat="false" ht="15" hidden="false" customHeight="false" outlineLevel="0" collapsed="false">
      <c r="A8" s="16" t="s">
        <v>186</v>
      </c>
      <c r="B8" s="17" t="n">
        <f aca="false">COUNTIF('Test Cases'!$C$2:$C$85,A8)</f>
        <v>10</v>
      </c>
      <c r="C8" s="17" t="n">
        <f aca="false">COUNTIFS('Test Cases'!$C$2:$C$85,A8,'Test Cases'!$J$2:$J$85,"Pass")</f>
        <v>0</v>
      </c>
      <c r="D8" s="17" t="n">
        <f aca="false">COUNTIFS('Test Cases'!$C$2:$C$85,A8,'Test Cases'!$J$2:$J$85,"Fail")</f>
        <v>0</v>
      </c>
      <c r="E8" s="17" t="n">
        <f aca="false">COUNTIFS('Test Cases'!$C$2:$C$85,A8,'Test Cases'!$J$2:$J$85,"Blocked")</f>
        <v>0</v>
      </c>
      <c r="F8" s="17" t="n">
        <f aca="false">B8-C8-D8-E8</f>
        <v>10</v>
      </c>
      <c r="G8" s="18" t="n">
        <f aca="false">IFERROR(C8/B8,0)</f>
        <v>0</v>
      </c>
    </row>
    <row r="9" customFormat="false" ht="15" hidden="false" customHeight="false" outlineLevel="0" collapsed="false">
      <c r="A9" s="13" t="s">
        <v>246</v>
      </c>
      <c r="B9" s="14" t="n">
        <f aca="false">COUNTIF('Test Cases'!$C$2:$C$85,A9)</f>
        <v>7</v>
      </c>
      <c r="C9" s="14" t="n">
        <f aca="false">COUNTIFS('Test Cases'!$C$2:$C$85,A9,'Test Cases'!$J$2:$J$85,"Pass")</f>
        <v>0</v>
      </c>
      <c r="D9" s="14" t="n">
        <f aca="false">COUNTIFS('Test Cases'!$C$2:$C$85,A9,'Test Cases'!$J$2:$J$85,"Fail")</f>
        <v>0</v>
      </c>
      <c r="E9" s="14" t="n">
        <f aca="false">COUNTIFS('Test Cases'!$C$2:$C$85,A9,'Test Cases'!$J$2:$J$85,"Blocked")</f>
        <v>0</v>
      </c>
      <c r="F9" s="14" t="n">
        <f aca="false">B9-C9-D9-E9</f>
        <v>7</v>
      </c>
      <c r="G9" s="15" t="n">
        <f aca="false">IFERROR(C9/B9,0)</f>
        <v>0</v>
      </c>
    </row>
    <row r="10" customFormat="false" ht="15" hidden="false" customHeight="false" outlineLevel="0" collapsed="false">
      <c r="A10" s="16" t="s">
        <v>288</v>
      </c>
      <c r="B10" s="17" t="n">
        <f aca="false">COUNTIF('Test Cases'!$C$2:$C$85,A10)</f>
        <v>7</v>
      </c>
      <c r="C10" s="17" t="n">
        <f aca="false">COUNTIFS('Test Cases'!$C$2:$C$85,A10,'Test Cases'!$J$2:$J$85,"Pass")</f>
        <v>0</v>
      </c>
      <c r="D10" s="17" t="n">
        <f aca="false">COUNTIFS('Test Cases'!$C$2:$C$85,A10,'Test Cases'!$J$2:$J$85,"Fail")</f>
        <v>0</v>
      </c>
      <c r="E10" s="17" t="n">
        <f aca="false">COUNTIFS('Test Cases'!$C$2:$C$85,A10,'Test Cases'!$J$2:$J$85,"Blocked")</f>
        <v>0</v>
      </c>
      <c r="F10" s="17" t="n">
        <f aca="false">B10-C10-D10-E10</f>
        <v>7</v>
      </c>
      <c r="G10" s="18" t="n">
        <f aca="false">IFERROR(C10/B10,0)</f>
        <v>0</v>
      </c>
    </row>
    <row r="11" customFormat="false" ht="15" hidden="false" customHeight="false" outlineLevel="0" collapsed="false">
      <c r="A11" s="13" t="s">
        <v>331</v>
      </c>
      <c r="B11" s="14" t="n">
        <f aca="false">COUNTIF('Test Cases'!$C$2:$C$85,A11)</f>
        <v>6</v>
      </c>
      <c r="C11" s="14" t="n">
        <f aca="false">COUNTIFS('Test Cases'!$C$2:$C$85,A11,'Test Cases'!$J$2:$J$85,"Pass")</f>
        <v>0</v>
      </c>
      <c r="D11" s="14" t="n">
        <f aca="false">COUNTIFS('Test Cases'!$C$2:$C$85,A11,'Test Cases'!$J$2:$J$85,"Fail")</f>
        <v>0</v>
      </c>
      <c r="E11" s="14" t="n">
        <f aca="false">COUNTIFS('Test Cases'!$C$2:$C$85,A11,'Test Cases'!$J$2:$J$85,"Blocked")</f>
        <v>0</v>
      </c>
      <c r="F11" s="14" t="n">
        <f aca="false">B11-C11-D11-E11</f>
        <v>6</v>
      </c>
      <c r="G11" s="15" t="n">
        <f aca="false">IFERROR(C11/B11,0)</f>
        <v>0</v>
      </c>
    </row>
    <row r="12" customFormat="false" ht="15" hidden="false" customHeight="false" outlineLevel="0" collapsed="false">
      <c r="A12" s="16" t="s">
        <v>367</v>
      </c>
      <c r="B12" s="17" t="n">
        <f aca="false">COUNTIF('Test Cases'!$C$2:$C$85,A12)</f>
        <v>7</v>
      </c>
      <c r="C12" s="17" t="n">
        <f aca="false">COUNTIFS('Test Cases'!$C$2:$C$85,A12,'Test Cases'!$J$2:$J$85,"Pass")</f>
        <v>0</v>
      </c>
      <c r="D12" s="17" t="n">
        <f aca="false">COUNTIFS('Test Cases'!$C$2:$C$85,A12,'Test Cases'!$J$2:$J$85,"Fail")</f>
        <v>0</v>
      </c>
      <c r="E12" s="17" t="n">
        <f aca="false">COUNTIFS('Test Cases'!$C$2:$C$85,A12,'Test Cases'!$J$2:$J$85,"Blocked")</f>
        <v>0</v>
      </c>
      <c r="F12" s="17" t="n">
        <f aca="false">B12-C12-D12-E12</f>
        <v>7</v>
      </c>
      <c r="G12" s="18" t="n">
        <f aca="false">IFERROR(C12/B12,0)</f>
        <v>0</v>
      </c>
    </row>
    <row r="13" customFormat="false" ht="15" hidden="false" customHeight="false" outlineLevel="0" collapsed="false">
      <c r="A13" s="13" t="s">
        <v>408</v>
      </c>
      <c r="B13" s="14" t="n">
        <f aca="false">COUNTIF('Test Cases'!$C$2:$C$85,A13)</f>
        <v>5</v>
      </c>
      <c r="C13" s="14" t="n">
        <f aca="false">COUNTIFS('Test Cases'!$C$2:$C$85,A13,'Test Cases'!$J$2:$J$85,"Pass")</f>
        <v>0</v>
      </c>
      <c r="D13" s="14" t="n">
        <f aca="false">COUNTIFS('Test Cases'!$C$2:$C$85,A13,'Test Cases'!$J$2:$J$85,"Fail")</f>
        <v>0</v>
      </c>
      <c r="E13" s="14" t="n">
        <f aca="false">COUNTIFS('Test Cases'!$C$2:$C$85,A13,'Test Cases'!$J$2:$J$85,"Blocked")</f>
        <v>0</v>
      </c>
      <c r="F13" s="14" t="n">
        <f aca="false">B13-C13-D13-E13</f>
        <v>5</v>
      </c>
      <c r="G13" s="15" t="n">
        <f aca="false">IFERROR(C13/B13,0)</f>
        <v>0</v>
      </c>
    </row>
    <row r="14" customFormat="false" ht="15" hidden="false" customHeight="false" outlineLevel="0" collapsed="false">
      <c r="A14" s="16" t="s">
        <v>440</v>
      </c>
      <c r="B14" s="17" t="n">
        <f aca="false">COUNTIF('Test Cases'!$C$2:$C$85,A14)</f>
        <v>4</v>
      </c>
      <c r="C14" s="17" t="n">
        <f aca="false">COUNTIFS('Test Cases'!$C$2:$C$85,A14,'Test Cases'!$J$2:$J$85,"Pass")</f>
        <v>0</v>
      </c>
      <c r="D14" s="17" t="n">
        <f aca="false">COUNTIFS('Test Cases'!$C$2:$C$85,A14,'Test Cases'!$J$2:$J$85,"Fail")</f>
        <v>0</v>
      </c>
      <c r="E14" s="17" t="n">
        <f aca="false">COUNTIFS('Test Cases'!$C$2:$C$85,A14,'Test Cases'!$J$2:$J$85,"Blocked")</f>
        <v>0</v>
      </c>
      <c r="F14" s="17" t="n">
        <f aca="false">B14-C14-D14-E14</f>
        <v>4</v>
      </c>
      <c r="G14" s="18" t="n">
        <f aca="false">IFERROR(C14/B14,0)</f>
        <v>0</v>
      </c>
    </row>
    <row r="15" customFormat="false" ht="15" hidden="false" customHeight="false" outlineLevel="0" collapsed="false">
      <c r="A15" s="13" t="s">
        <v>463</v>
      </c>
      <c r="B15" s="14" t="n">
        <f aca="false">COUNTIF('Test Cases'!$C$2:$C$85,A15)</f>
        <v>3</v>
      </c>
      <c r="C15" s="14" t="n">
        <f aca="false">COUNTIFS('Test Cases'!$C$2:$C$85,A15,'Test Cases'!$J$2:$J$85,"Pass")</f>
        <v>0</v>
      </c>
      <c r="D15" s="14" t="n">
        <f aca="false">COUNTIFS('Test Cases'!$C$2:$C$85,A15,'Test Cases'!$J$2:$J$85,"Fail")</f>
        <v>0</v>
      </c>
      <c r="E15" s="14" t="n">
        <f aca="false">COUNTIFS('Test Cases'!$C$2:$C$85,A15,'Test Cases'!$J$2:$J$85,"Blocked")</f>
        <v>0</v>
      </c>
      <c r="F15" s="14" t="n">
        <f aca="false">B15-C15-D15-E15</f>
        <v>3</v>
      </c>
      <c r="G15" s="15" t="n">
        <f aca="false">IFERROR(C15/B15,0)</f>
        <v>0</v>
      </c>
    </row>
    <row r="16" customFormat="false" ht="15" hidden="false" customHeight="false" outlineLevel="0" collapsed="false">
      <c r="A16" s="16" t="s">
        <v>482</v>
      </c>
      <c r="B16" s="17" t="n">
        <f aca="false">COUNTIF('Test Cases'!$C$2:$C$85,A16)</f>
        <v>2</v>
      </c>
      <c r="C16" s="17" t="n">
        <f aca="false">COUNTIFS('Test Cases'!$C$2:$C$85,A16,'Test Cases'!$J$2:$J$85,"Pass")</f>
        <v>0</v>
      </c>
      <c r="D16" s="17" t="n">
        <f aca="false">COUNTIFS('Test Cases'!$C$2:$C$85,A16,'Test Cases'!$J$2:$J$85,"Fail")</f>
        <v>0</v>
      </c>
      <c r="E16" s="17" t="n">
        <f aca="false">COUNTIFS('Test Cases'!$C$2:$C$85,A16,'Test Cases'!$J$2:$J$85,"Blocked")</f>
        <v>0</v>
      </c>
      <c r="F16" s="17" t="n">
        <f aca="false">B16-C16-D16-E16</f>
        <v>2</v>
      </c>
      <c r="G16" s="18" t="n">
        <f aca="false">IFERROR(C16/B16,0)</f>
        <v>0</v>
      </c>
    </row>
    <row r="17" customFormat="false" ht="15" hidden="false" customHeight="false" outlineLevel="0" collapsed="false">
      <c r="A17" s="13" t="s">
        <v>494</v>
      </c>
      <c r="B17" s="14" t="n">
        <f aca="false">COUNTIF('Test Cases'!$C$2:$C$85,A17)</f>
        <v>2</v>
      </c>
      <c r="C17" s="14" t="n">
        <f aca="false">COUNTIFS('Test Cases'!$C$2:$C$85,A17,'Test Cases'!$J$2:$J$85,"Pass")</f>
        <v>0</v>
      </c>
      <c r="D17" s="14" t="n">
        <f aca="false">COUNTIFS('Test Cases'!$C$2:$C$85,A17,'Test Cases'!$J$2:$J$85,"Fail")</f>
        <v>0</v>
      </c>
      <c r="E17" s="14" t="n">
        <f aca="false">COUNTIFS('Test Cases'!$C$2:$C$85,A17,'Test Cases'!$J$2:$J$85,"Blocked")</f>
        <v>0</v>
      </c>
      <c r="F17" s="14" t="n">
        <f aca="false">B17-C17-D17-E17</f>
        <v>2</v>
      </c>
      <c r="G17" s="15" t="n">
        <f aca="false">IFERROR(C17/B17,0)</f>
        <v>0</v>
      </c>
    </row>
    <row r="18" customFormat="false" ht="15" hidden="false" customHeight="false" outlineLevel="0" collapsed="false">
      <c r="A18" s="16" t="s">
        <v>506</v>
      </c>
      <c r="B18" s="17" t="n">
        <f aca="false">COUNTIF('Test Cases'!$C$2:$C$85,A18)</f>
        <v>2</v>
      </c>
      <c r="C18" s="17" t="n">
        <f aca="false">COUNTIFS('Test Cases'!$C$2:$C$85,A18,'Test Cases'!$J$2:$J$85,"Pass")</f>
        <v>0</v>
      </c>
      <c r="D18" s="17" t="n">
        <f aca="false">COUNTIFS('Test Cases'!$C$2:$C$85,A18,'Test Cases'!$J$2:$J$85,"Fail")</f>
        <v>0</v>
      </c>
      <c r="E18" s="17" t="n">
        <f aca="false">COUNTIFS('Test Cases'!$C$2:$C$85,A18,'Test Cases'!$J$2:$J$85,"Blocked")</f>
        <v>0</v>
      </c>
      <c r="F18" s="17" t="n">
        <f aca="false">B18-C18-D18-E18</f>
        <v>2</v>
      </c>
      <c r="G18" s="18" t="n">
        <f aca="false">IFERROR(C18/B18,0)</f>
        <v>0</v>
      </c>
    </row>
    <row r="19" customFormat="false" ht="15" hidden="false" customHeight="false" outlineLevel="0" collapsed="false">
      <c r="A19" s="13" t="s">
        <v>519</v>
      </c>
      <c r="B19" s="14" t="n">
        <f aca="false">COUNTIF('Test Cases'!$C$2:$C$85,A19)</f>
        <v>1</v>
      </c>
      <c r="C19" s="14" t="n">
        <f aca="false">COUNTIFS('Test Cases'!$C$2:$C$85,A19,'Test Cases'!$J$2:$J$85,"Pass")</f>
        <v>0</v>
      </c>
      <c r="D19" s="14" t="n">
        <f aca="false">COUNTIFS('Test Cases'!$C$2:$C$85,A19,'Test Cases'!$J$2:$J$85,"Fail")</f>
        <v>0</v>
      </c>
      <c r="E19" s="14" t="n">
        <f aca="false">COUNTIFS('Test Cases'!$C$2:$C$85,A19,'Test Cases'!$J$2:$J$85,"Blocked")</f>
        <v>0</v>
      </c>
      <c r="F19" s="14" t="n">
        <f aca="false">B19-C19-D19-E19</f>
        <v>1</v>
      </c>
      <c r="G19" s="15" t="n">
        <f aca="false">IFERROR(C19/B19,0)</f>
        <v>0</v>
      </c>
    </row>
    <row r="20" customFormat="false" ht="15" hidden="false" customHeight="false" outlineLevel="0" collapsed="false">
      <c r="A20" s="16" t="s">
        <v>526</v>
      </c>
      <c r="B20" s="17" t="n">
        <f aca="false">COUNTIF('Test Cases'!$C$2:$C$85,A20)</f>
        <v>2</v>
      </c>
      <c r="C20" s="17" t="n">
        <f aca="false">COUNTIFS('Test Cases'!$C$2:$C$85,A20,'Test Cases'!$J$2:$J$85,"Pass")</f>
        <v>0</v>
      </c>
      <c r="D20" s="17" t="n">
        <f aca="false">COUNTIFS('Test Cases'!$C$2:$C$85,A20,'Test Cases'!$J$2:$J$85,"Fail")</f>
        <v>0</v>
      </c>
      <c r="E20" s="17" t="n">
        <f aca="false">COUNTIFS('Test Cases'!$C$2:$C$85,A20,'Test Cases'!$J$2:$J$85,"Blocked")</f>
        <v>0</v>
      </c>
      <c r="F20" s="17" t="n">
        <f aca="false">B20-C20-D20-E20</f>
        <v>2</v>
      </c>
      <c r="G20" s="18" t="n">
        <f aca="false">IFERROR(C20/B20,0)</f>
        <v>0</v>
      </c>
    </row>
    <row r="21" customFormat="false" ht="15" hidden="false" customHeight="false" outlineLevel="0" collapsed="false">
      <c r="A21" s="13" t="s">
        <v>538</v>
      </c>
      <c r="B21" s="14" t="n">
        <f aca="false">COUNTIF('Test Cases'!$C$2:$C$85,A21)</f>
        <v>4</v>
      </c>
      <c r="C21" s="14" t="n">
        <f aca="false">COUNTIFS('Test Cases'!$C$2:$C$85,A21,'Test Cases'!$J$2:$J$85,"Pass")</f>
        <v>0</v>
      </c>
      <c r="D21" s="14" t="n">
        <f aca="false">COUNTIFS('Test Cases'!$C$2:$C$85,A21,'Test Cases'!$J$2:$J$85,"Fail")</f>
        <v>0</v>
      </c>
      <c r="E21" s="14" t="n">
        <f aca="false">COUNTIFS('Test Cases'!$C$2:$C$85,A21,'Test Cases'!$J$2:$J$85,"Blocked")</f>
        <v>0</v>
      </c>
      <c r="F21" s="14" t="n">
        <f aca="false">B21-C21-D21-E21</f>
        <v>4</v>
      </c>
      <c r="G21" s="15" t="n">
        <f aca="false">IFERROR(C21/B21,0)</f>
        <v>0</v>
      </c>
    </row>
    <row r="22" customFormat="false" ht="15" hidden="false" customHeight="false" outlineLevel="0" collapsed="false">
      <c r="A22" s="19" t="s">
        <v>570</v>
      </c>
      <c r="B22" s="20" t="n">
        <f aca="false">SUM(B5:B21)</f>
        <v>84</v>
      </c>
      <c r="C22" s="20" t="n">
        <f aca="false">SUM(C5:C21)</f>
        <v>0</v>
      </c>
      <c r="D22" s="20" t="n">
        <f aca="false">SUM(D5:D21)</f>
        <v>0</v>
      </c>
      <c r="E22" s="20" t="n">
        <f aca="false">SUM(E5:E21)</f>
        <v>0</v>
      </c>
      <c r="F22" s="20" t="n">
        <f aca="false">B22-C22-D22-E22</f>
        <v>84</v>
      </c>
      <c r="G22" s="21" t="n">
        <f aca="false">IFERROR(C22/B22,0)</f>
        <v>0</v>
      </c>
    </row>
    <row r="24" customFormat="false" ht="43.25" hidden="false" customHeight="false" outlineLevel="0" collapsed="false">
      <c r="A24" s="22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2026-09-03T13:48:01Z</dcterms:created>
  <dc:creator>openpyxl</dc:creator>
  <dc:description/>
  <dc:language>en-US</dc:language>
  <cp:lastModifiedBy/>
  <dcterms:modified xsi:type="dcterms:W3CDTF">2026-09-03T13:48:01Z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